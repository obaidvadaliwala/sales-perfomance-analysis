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project_dataset_200_rows." sheetId="1" r:id="rId5"/>
    <sheet state="visible" name="Cleaned_Data" sheetId="2" r:id="rId6"/>
    <sheet state="visible" name="KPI" sheetId="3" r:id="rId7"/>
    <sheet state="visible" name="Pivot Table 1" sheetId="4" r:id="rId8"/>
    <sheet state="visible" name="Analysis" sheetId="5" r:id="rId9"/>
    <sheet state="visible" name="Sheet3" sheetId="6" r:id="rId10"/>
  </sheets>
  <definedNames>
    <definedName hidden="1" localSheetId="1" name="_xlnm._FilterDatabase">Cleaned_Data!$A$1:$J$1000</definedName>
    <definedName hidden="1" localSheetId="3" name="_xlnm._FilterDatabase">'Pivot Table 1'!$A$1:$B$169</definedName>
    <definedName hidden="1" localSheetId="3" name="Z_1FF048BB_5539_4F14_8588_2B7002BE84A9_.wvu.FilterData">'Pivot Table 1'!$A$49:$B$53</definedName>
  </definedNames>
  <calcPr/>
  <customWorkbookViews>
    <customWorkbookView activeSheetId="0" maximized="1" windowHeight="0" windowWidth="0" guid="{1FF048BB-5539-4F14-8588-2B7002BE84A9}" name="Filter 1"/>
  </customWorkbookViews>
  <pivotCaches>
    <pivotCache cacheId="0" r:id="rId11"/>
    <pivotCache cacheId="1" r:id="rId12"/>
  </pivotCaches>
</workbook>
</file>

<file path=xl/sharedStrings.xml><?xml version="1.0" encoding="utf-8"?>
<sst xmlns="http://schemas.openxmlformats.org/spreadsheetml/2006/main" count="1640" uniqueCount="57">
  <si>
    <t>OrderID</t>
  </si>
  <si>
    <t>OrderDate</t>
  </si>
  <si>
    <t>Product</t>
  </si>
  <si>
    <t>Category</t>
  </si>
  <si>
    <t>Region</t>
  </si>
  <si>
    <t>Sales</t>
  </si>
  <si>
    <t>Cost</t>
  </si>
  <si>
    <t>Discount</t>
  </si>
  <si>
    <t>CustomerType</t>
  </si>
  <si>
    <t>Headphones</t>
  </si>
  <si>
    <t>Accessories</t>
  </si>
  <si>
    <t>North</t>
  </si>
  <si>
    <t>Returning</t>
  </si>
  <si>
    <t>South</t>
  </si>
  <si>
    <t>New</t>
  </si>
  <si>
    <t>Mobile</t>
  </si>
  <si>
    <t>Electronics</t>
  </si>
  <si>
    <t>East</t>
  </si>
  <si>
    <t>Laptop</t>
  </si>
  <si>
    <t>Keyboard</t>
  </si>
  <si>
    <t>Mouse</t>
  </si>
  <si>
    <t>Tablet</t>
  </si>
  <si>
    <t>West</t>
  </si>
  <si>
    <t>Profit</t>
  </si>
  <si>
    <t>Months</t>
  </si>
  <si>
    <t>Discount_Category</t>
  </si>
  <si>
    <t xml:space="preserve"> </t>
  </si>
  <si>
    <t>TOTAL REVENUE</t>
  </si>
  <si>
    <t>TOTAL PROFIT</t>
  </si>
  <si>
    <t>PROFIT MARGIN</t>
  </si>
  <si>
    <t>Average Order Value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</si>
  <si>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</si>
  <si>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</si>
  <si>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</si>
  <si>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</si>
  <si>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</si>
  <si>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</si>
  <si>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</si>
  <si>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</si>
  <si>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</si>
  <si>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</si>
  <si>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</si>
  <si>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</si>
  <si>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</si>
  <si>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</si>
  <si>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Monthly Sales Trend</t>
  </si>
  <si>
    <t>Top Products</t>
  </si>
  <si>
    <t>SUM of Profit</t>
  </si>
  <si>
    <t>Region-wise Profit</t>
  </si>
  <si>
    <t>AVERAGE of Profit</t>
  </si>
  <si>
    <t>Low Discount</t>
  </si>
  <si>
    <t>High Discount</t>
  </si>
  <si>
    <t>Percentage of sales</t>
  </si>
  <si>
    <t>Customer type revenue contribution analysis</t>
  </si>
  <si>
    <t>Total Revenue for 2 years is 8104567</t>
  </si>
  <si>
    <t>South region contributes for 29.9 % of total sales</t>
  </si>
  <si>
    <t>Mobiles Drives Majority of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</si>
</sst>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10" xfId="0" applyAlignment="1" applyBorder="1" applyFont="1" applyNumberFormat="1">
      <alignment horizontal="center"/>
    </xf>
    <xf borderId="0" fillId="0" fontId="1" numFmtId="165" xfId="0" applyFont="1" applyNumberFormat="1"/>
    <xf borderId="0" fillId="0" fontId="2" numFmtId="0" xfId="0" applyAlignment="1" applyFont="1">
      <alignment readingOrder="0"/>
    </xf>
    <xf borderId="0" fillId="0" fontId="1" numFmtId="10" xfId="0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2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'Pivot Table 1'!$B$1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1'!$A$2:$A$13</c:f>
            </c:strRef>
          </c:cat>
          <c:val>
            <c:numRef>
              <c:f>'Pivot Table 1'!$B$2:$B$13</c:f>
              <c:numCache/>
            </c:numRef>
          </c:val>
          <c:smooth val="0"/>
        </c:ser>
        <c:axId val="1615395670"/>
        <c:axId val="495321645"/>
      </c:lineChart>
      <c:catAx>
        <c:axId val="16153956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5321645"/>
      </c:catAx>
      <c:valAx>
        <c:axId val="4953216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53956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Product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1'!$B$25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1'!$A$26:$A$31</c:f>
            </c:strRef>
          </c:cat>
          <c:val>
            <c:numRef>
              <c:f>'Pivot Table 1'!$B$26:$B$31</c:f>
              <c:numCache/>
            </c:numRef>
          </c:val>
        </c:ser>
        <c:axId val="1456809740"/>
        <c:axId val="1824905431"/>
      </c:barChart>
      <c:catAx>
        <c:axId val="14568097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4905431"/>
      </c:catAx>
      <c:valAx>
        <c:axId val="18249054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680974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Profit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1'!$B$49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1'!$A$50:$A$53</c:f>
            </c:strRef>
          </c:cat>
          <c:val>
            <c:numRef>
              <c:f>'Pivot Table 1'!$B$50:$B$53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value of Profit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1'!$B$72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1'!$A$73:$A$74</c:f>
            </c:strRef>
          </c:cat>
          <c:val>
            <c:numRef>
              <c:f>'Pivot Table 1'!$B$73:$B$74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Percentage of sales vs. CustomerType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1'!$B$88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1'!$A$89:$A$90</c:f>
            </c:strRef>
          </c:cat>
          <c:val>
            <c:numRef>
              <c:f>'Pivot Table 1'!$B$89:$B$90</c:f>
              <c:numCache/>
            </c:numRef>
          </c:val>
        </c:ser>
        <c:axId val="847528201"/>
        <c:axId val="2001308655"/>
      </c:barChart>
      <c:catAx>
        <c:axId val="8475282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CustomerType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1308655"/>
      </c:catAx>
      <c:valAx>
        <c:axId val="20013086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Percentage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75282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'Pivot Table 1'!$B$1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1'!$A$2:$A$13</c:f>
            </c:strRef>
          </c:cat>
          <c:val>
            <c:numRef>
              <c:f>'Pivot Table 1'!$B$2:$B$13</c:f>
              <c:numCache/>
            </c:numRef>
          </c:val>
          <c:smooth val="0"/>
        </c:ser>
        <c:axId val="1369641062"/>
        <c:axId val="1490717747"/>
      </c:lineChart>
      <c:catAx>
        <c:axId val="13696410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0717747"/>
      </c:catAx>
      <c:valAx>
        <c:axId val="14907177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96410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Product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1'!$B$25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1'!$A$26:$A$31</c:f>
            </c:strRef>
          </c:cat>
          <c:val>
            <c:numRef>
              <c:f>'Pivot Table 1'!$B$26:$B$31</c:f>
              <c:numCache/>
            </c:numRef>
          </c:val>
        </c:ser>
        <c:axId val="217258325"/>
        <c:axId val="957791071"/>
      </c:barChart>
      <c:catAx>
        <c:axId val="21725832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7791071"/>
      </c:catAx>
      <c:valAx>
        <c:axId val="9577910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725832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Profit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Table 1'!$B$49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1'!$A$50:$A$53</c:f>
            </c:strRef>
          </c:cat>
          <c:val>
            <c:numRef>
              <c:f>'Pivot Table 1'!$B$50:$B$53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371475</xdr:colOff>
      <xdr:row>0</xdr:row>
      <xdr:rowOff>200025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457200</xdr:colOff>
      <xdr:row>24</xdr:row>
      <xdr:rowOff>9525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209550</xdr:colOff>
      <xdr:row>47</xdr:row>
      <xdr:rowOff>57150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533400</xdr:colOff>
      <xdr:row>66</xdr:row>
      <xdr:rowOff>57150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457200</xdr:colOff>
      <xdr:row>87</xdr:row>
      <xdr:rowOff>19050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0</xdr:row>
      <xdr:rowOff>152400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514350</xdr:colOff>
      <xdr:row>1</xdr:row>
      <xdr:rowOff>38100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590550</xdr:colOff>
      <xdr:row>21</xdr:row>
      <xdr:rowOff>85725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1000" sheet="Cleaned_Data"/>
  </cacheSource>
  <cacheFields>
    <cacheField name="OrderID" numFmtId="0">
      <sharedItems containsString="0" containsBlank="1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m/>
      </sharedItems>
    </cacheField>
    <cacheField name="OrderDate" numFmtId="164">
      <sharedItems containsNonDate="0" containsDate="1" containsString="0" containsBlank="1" minDate="2023-01-03T00:00:00Z" maxDate="2024-11-24T00:00:00Z">
        <d v="2023-03-06T00:00:00Z"/>
        <d v="2023-04-02T00:00:00Z"/>
        <d v="2024-10-07T00:00:00Z"/>
        <d v="2023-10-15T00:00:00Z"/>
        <d v="2023-05-30T00:00:00Z"/>
        <d v="2023-09-23T00:00:00Z"/>
        <d v="2023-10-30T00:00:00Z"/>
        <d v="2024-03-11T00:00:00Z"/>
        <d v="2024-09-09T00:00:00Z"/>
        <d v="2023-12-11T00:00:00Z"/>
        <d v="2023-03-28T00:00:00Z"/>
        <d v="2024-09-03T00:00:00Z"/>
        <d v="2023-06-11T00:00:00Z"/>
        <d v="2023-07-02T00:00:00Z"/>
        <d v="2023-04-10T00:00:00Z"/>
        <d v="2023-05-10T00:00:00Z"/>
        <d v="2024-04-14T00:00:00Z"/>
        <d v="2024-07-12T00:00:00Z"/>
        <d v="2024-01-13T00:00:00Z"/>
        <d v="2024-03-01T00:00:00Z"/>
        <d v="2023-07-18T00:00:00Z"/>
        <d v="2024-05-25T00:00:00Z"/>
        <d v="2024-04-11T00:00:00Z"/>
        <d v="2024-08-27T00:00:00Z"/>
        <d v="2023-08-13T00:00:00Z"/>
        <d v="2024-09-26T00:00:00Z"/>
        <d v="2023-09-04T00:00:00Z"/>
        <d v="2024-07-13T00:00:00Z"/>
        <d v="2024-03-09T00:00:00Z"/>
        <d v="2024-01-23T00:00:00Z"/>
        <d v="2023-06-13T00:00:00Z"/>
        <d v="2024-03-13T00:00:00Z"/>
        <d v="2023-08-18T00:00:00Z"/>
        <d v="2024-08-12T00:00:00Z"/>
        <d v="2024-03-14T00:00:00Z"/>
        <d v="2023-12-07T00:00:00Z"/>
        <d v="2024-05-21T00:00:00Z"/>
        <d v="2023-06-27T00:00:00Z"/>
        <d v="2023-06-19T00:00:00Z"/>
        <d v="2024-02-17T00:00:00Z"/>
        <d v="2024-08-05T00:00:00Z"/>
        <d v="2023-01-16T00:00:00Z"/>
        <d v="2024-01-08T00:00:00Z"/>
        <d v="2023-12-20T00:00:00Z"/>
        <d v="2023-06-07T00:00:00Z"/>
        <d v="2023-04-18T00:00:00Z"/>
        <d v="2023-08-22T00:00:00Z"/>
        <d v="2023-08-12T00:00:00Z"/>
        <d v="2024-01-30T00:00:00Z"/>
        <d v="2023-04-19T00:00:00Z"/>
        <d v="2023-03-01T00:00:00Z"/>
        <d v="2023-01-22T00:00:00Z"/>
        <d v="2023-11-06T00:00:00Z"/>
        <d v="2023-03-05T00:00:00Z"/>
        <d v="2023-02-23T00:00:00Z"/>
        <d v="2024-01-15T00:00:00Z"/>
        <d v="2023-11-11T00:00:00Z"/>
        <d v="2023-09-18T00:00:00Z"/>
        <d v="2024-06-08T00:00:00Z"/>
        <d v="2024-10-14T00:00:00Z"/>
        <d v="2024-06-03T00:00:00Z"/>
        <d v="2024-05-24T00:00:00Z"/>
        <d v="2024-03-23T00:00:00Z"/>
        <d v="2024-05-29T00:00:00Z"/>
        <d v="2024-08-10T00:00:00Z"/>
        <d v="2023-04-16T00:00:00Z"/>
        <d v="2024-07-18T00:00:00Z"/>
        <d v="2024-04-01T00:00:00Z"/>
        <d v="2023-05-18T00:00:00Z"/>
        <d v="2024-06-24T00:00:00Z"/>
        <d v="2023-11-22T00:00:00Z"/>
        <d v="2023-12-13T00:00:00Z"/>
        <d v="2024-10-27T00:00:00Z"/>
        <d v="2024-04-16T00:00:00Z"/>
        <d v="2023-05-13T00:00:00Z"/>
        <d v="2024-04-10T00:00:00Z"/>
        <d v="2024-11-09T00:00:00Z"/>
        <d v="2023-04-20T00:00:00Z"/>
        <d v="2024-09-05T00:00:00Z"/>
        <d v="2023-06-04T00:00:00Z"/>
        <d v="2023-11-12T00:00:00Z"/>
        <d v="2024-02-07T00:00:00Z"/>
        <d v="2023-10-08T00:00:00Z"/>
        <d v="2023-06-17T00:00:00Z"/>
        <d v="2024-07-16T00:00:00Z"/>
        <d v="2024-11-23T00:00:00Z"/>
        <d v="2024-01-16T00:00:00Z"/>
        <d v="2023-02-24T00:00:00Z"/>
        <d v="2024-08-16T00:00:00Z"/>
        <d v="2023-09-11T00:00:00Z"/>
        <d v="2023-09-03T00:00:00Z"/>
        <d v="2024-03-08T00:00:00Z"/>
        <d v="2024-08-19T00:00:00Z"/>
        <d v="2024-06-13T00:00:00Z"/>
        <d v="2023-09-14T00:00:00Z"/>
        <d v="2023-12-01T00:00:00Z"/>
        <d v="2024-01-06T00:00:00Z"/>
        <d v="2023-06-10T00:00:00Z"/>
        <d v="2023-10-10T00:00:00Z"/>
        <d v="2024-05-28T00:00:00Z"/>
        <d v="2024-11-12T00:00:00Z"/>
        <d v="2023-10-22T00:00:00Z"/>
        <d v="2024-07-05T00:00:00Z"/>
        <d v="2023-09-19T00:00:00Z"/>
        <d v="2024-02-24T00:00:00Z"/>
        <d v="2023-01-05T00:00:00Z"/>
        <d v="2023-10-20T00:00:00Z"/>
        <d v="2024-07-02T00:00:00Z"/>
        <d v="2023-05-26T00:00:00Z"/>
        <d v="2024-03-12T00:00:00Z"/>
        <d v="2023-08-26T00:00:00Z"/>
        <d v="2024-09-06T00:00:00Z"/>
        <d v="2023-09-20T00:00:00Z"/>
        <d v="2024-05-04T00:00:00Z"/>
        <d v="2023-02-05T00:00:00Z"/>
        <d v="2023-08-01T00:00:00Z"/>
        <d v="2024-03-25T00:00:00Z"/>
        <d v="2023-03-25T00:00:00Z"/>
        <d v="2023-08-28T00:00:00Z"/>
        <d v="2024-03-03T00:00:00Z"/>
        <d v="2023-10-29T00:00:00Z"/>
        <d v="2023-09-07T00:00:00Z"/>
        <d v="2023-07-06T00:00:00Z"/>
        <d v="2023-09-22T00:00:00Z"/>
        <d v="2024-08-18T00:00:00Z"/>
        <d v="2023-12-08T00:00:00Z"/>
        <d v="2023-03-03T00:00:00Z"/>
        <d v="2024-08-25T00:00:00Z"/>
        <d v="2024-03-17T00:00:00Z"/>
        <d v="2023-01-03T00:00:00Z"/>
        <d v="2023-07-29T00:00:00Z"/>
        <d v="2024-10-24T00:00:00Z"/>
        <d v="2023-01-17T00:00:00Z"/>
        <d v="2024-02-20T00:00:00Z"/>
        <d v="2023-01-14T00:00:00Z"/>
        <d v="2023-03-31T00:00:00Z"/>
        <d v="2023-07-26T00:00:00Z"/>
        <d v="2023-09-01T00:00:00Z"/>
        <d v="2024-05-31T00:00:00Z"/>
        <d v="2024-05-13T00:00:00Z"/>
        <d v="2023-02-03T00:00:00Z"/>
        <d v="2023-10-19T00:00:00Z"/>
        <d v="2024-02-27T00:00:00Z"/>
        <d v="2024-11-03T00:00:00Z"/>
        <d v="2023-03-22T00:00:00Z"/>
        <d v="2024-08-02T00:00:00Z"/>
        <d v="2023-01-10T00:00:00Z"/>
        <d v="2023-05-20T00:00:00Z"/>
        <d v="2024-05-17T00:00:00Z"/>
        <d v="2024-11-19T00:00:00Z"/>
        <d v="2023-02-13T00:00:00Z"/>
        <d v="2024-03-31T00:00:00Z"/>
        <d v="2023-09-29T00:00:00Z"/>
        <d v="2024-03-30T00:00:00Z"/>
        <d v="2023-03-02T00:00:00Z"/>
        <d v="2024-10-15T00:00:00Z"/>
        <d v="2023-08-21T00:00:00Z"/>
        <d v="2024-06-06T00:00:00Z"/>
        <d v="2023-07-10T00:00:00Z"/>
        <d v="2024-07-27T00:00:00Z"/>
        <d v="2024-08-24T00:00:00Z"/>
        <d v="2023-12-26T00:00:00Z"/>
        <d v="2024-08-29T00:00:00Z"/>
        <d v="2024-03-02T00:00:00Z"/>
        <d v="2023-07-03T00:00:00Z"/>
        <d v="2023-06-15T00:00:00Z"/>
        <d v="2024-11-15T00:00:00Z"/>
        <m/>
      </sharedItems>
      <fieldGroup base="1">
        <rangePr autoStart="0" autoEnd="0" groupBy="months" startDate="2023-01-03T00:00:00Z" endDate="2024-11-24T00:00:00Z"/>
        <groupItems>
          <s v="&lt;01/03/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24/24"/>
        </groupItems>
      </fieldGroup>
    </cacheField>
    <cacheField name="Product" numFmtId="0">
      <sharedItems containsBlank="1">
        <s v="Headphones"/>
        <s v="Mobile"/>
        <s v="Laptop"/>
        <s v="Keyboard"/>
        <s v="Mouse"/>
        <s v="Tablet"/>
        <m/>
      </sharedItems>
    </cacheField>
    <cacheField name="Category" numFmtId="0">
      <sharedItems containsBlank="1">
        <s v="Accessories"/>
        <s v="Electronics"/>
        <m/>
      </sharedItems>
    </cacheField>
    <cacheField name="Region" numFmtId="0">
      <sharedItems containsBlank="1">
        <s v="North"/>
        <s v="South"/>
        <s v="East"/>
        <s v="West"/>
        <m/>
      </sharedItems>
    </cacheField>
    <cacheField name="Sales" numFmtId="0">
      <sharedItems containsString="0" containsBlank="1" containsNumber="1" containsInteger="1">
        <n v="19641.0"/>
        <n v="22546.0"/>
        <n v="65307.0"/>
        <n v="19193.0"/>
        <n v="49291.0"/>
        <n v="60900.0"/>
        <n v="59202.0"/>
        <n v="31775.0"/>
        <n v="47726.0"/>
        <n v="14037.0"/>
        <n v="40232.0"/>
        <n v="24096.0"/>
        <n v="35404.0"/>
        <n v="57693.0"/>
        <n v="12879.0"/>
        <n v="67835.0"/>
        <n v="40984.0"/>
        <n v="65624.0"/>
        <n v="75542.0"/>
        <n v="76394.0"/>
        <n v="67342.0"/>
        <n v="78376.0"/>
        <n v="71482.0"/>
        <n v="37049.0"/>
        <n v="77812.0"/>
        <n v="14143.0"/>
        <n v="22550.0"/>
        <n v="17188.0"/>
        <n v="56143.0"/>
        <n v="8955.0"/>
        <n v="34941.0"/>
        <n v="51547.0"/>
        <n v="38696.0"/>
        <n v="31813.0"/>
        <n v="77959.0"/>
        <n v="71781.0"/>
        <n v="43960.0"/>
        <n v="23172.0"/>
        <n v="23603.0"/>
        <n v="34619.0"/>
        <n v="29574.0"/>
        <n v="50825.0"/>
        <n v="29904.0"/>
        <n v="13647.0"/>
        <n v="21758.0"/>
        <n v="64761.0"/>
        <n v="8668.0"/>
        <n v="77877.0"/>
        <n v="22964.0"/>
        <n v="16287.0"/>
        <n v="16122.0"/>
        <n v="42723.0"/>
        <n v="18602.0"/>
        <n v="54852.0"/>
        <n v="50434.0"/>
        <n v="62942.0"/>
        <n v="46915.0"/>
        <n v="70835.0"/>
        <n v="46927.0"/>
        <n v="20639.0"/>
        <n v="62654.0"/>
        <n v="65512.0"/>
        <n v="61735.0"/>
        <n v="51599.0"/>
        <n v="45161.0"/>
        <n v="7480.0"/>
        <n v="14506.0"/>
        <n v="44421.0"/>
        <n v="29619.0"/>
        <n v="10756.0"/>
        <n v="53372.0"/>
        <n v="55336.0"/>
        <n v="69392.0"/>
        <n v="52435.0"/>
        <n v="40764.0"/>
        <n v="19784.0"/>
        <n v="70661.0"/>
        <n v="75137.0"/>
        <n v="14881.0"/>
        <n v="10589.0"/>
        <n v="43198.0"/>
        <n v="22671.0"/>
        <n v="30613.0"/>
        <n v="33899.0"/>
        <n v="15001.0"/>
        <n v="17655.0"/>
        <n v="12346.0"/>
        <n v="58969.0"/>
        <n v="75839.0"/>
        <n v="76522.0"/>
        <n v="31826.0"/>
        <n v="53138.0"/>
        <n v="70127.0"/>
        <n v="53412.0"/>
        <n v="22441.0"/>
        <n v="71658.0"/>
        <n v="13755.0"/>
        <n v="19136.0"/>
        <n v="29519.0"/>
        <n v="20215.0"/>
        <n v="47019.0"/>
        <n v="30851.0"/>
        <n v="47132.0"/>
        <n v="45922.0"/>
        <n v="72104.0"/>
        <n v="75577.0"/>
        <n v="31236.0"/>
        <n v="35906.0"/>
        <n v="71229.0"/>
        <n v="37613.0"/>
        <n v="51534.0"/>
        <n v="55408.0"/>
        <n v="52485.0"/>
        <n v="58891.0"/>
        <n v="69005.0"/>
        <n v="47819.0"/>
        <n v="46147.0"/>
        <n v="37889.0"/>
        <n v="55966.0"/>
        <n v="8453.0"/>
        <n v="78667.0"/>
        <n v="46741.0"/>
        <n v="71598.0"/>
        <n v="42639.0"/>
        <n v="70069.0"/>
        <n v="29495.0"/>
        <n v="50989.0"/>
        <n v="58930.0"/>
        <n v="76284.0"/>
        <n v="69870.0"/>
        <n v="62723.0"/>
        <n v="73713.0"/>
        <n v="21874.0"/>
        <n v="62271.0"/>
        <n v="42682.0"/>
        <n v="36322.0"/>
        <n v="12299.0"/>
        <n v="14447.0"/>
        <n v="18347.0"/>
        <n v="29087.0"/>
        <n v="20308.0"/>
        <n v="40127.0"/>
        <n v="64637.0"/>
        <n v="41088.0"/>
        <n v="9072.0"/>
        <n v="63388.0"/>
        <n v="37881.0"/>
        <n v="78375.0"/>
        <n v="76405.0"/>
        <n v="31917.0"/>
        <n v="40143.0"/>
        <n v="78447.0"/>
        <n v="19010.0"/>
        <n v="64875.0"/>
        <n v="55984.0"/>
        <n v="51379.0"/>
        <n v="22466.0"/>
        <n v="11403.0"/>
        <n v="21166.0"/>
        <n v="35600.0"/>
        <n v="31008.0"/>
        <n v="55522.0"/>
        <n v="20367.0"/>
        <n v="21009.0"/>
        <n v="57852.0"/>
        <n v="48214.0"/>
        <n v="18714.0"/>
        <n v="78479.0"/>
        <n v="52399.0"/>
        <n v="30862.0"/>
        <n v="35675.0"/>
        <n v="31850.0"/>
        <n v="23563.0"/>
        <n v="59918.0"/>
        <n v="20532.0"/>
        <n v="14639.0"/>
        <n v="19190.0"/>
        <n v="52559.0"/>
        <n v="78360.0"/>
        <n v="41334.0"/>
        <n v="17822.0"/>
        <n v="62856.0"/>
        <n v="38861.0"/>
        <n v="56354.0"/>
        <n v="63097.0"/>
        <m/>
      </sharedItems>
    </cacheField>
    <cacheField name="Cost" numFmtId="0">
      <sharedItems containsString="0" containsBlank="1" containsNumber="1">
        <n v="14819.37"/>
        <n v="13660.02"/>
        <n v="45170.26"/>
        <n v="13671.68"/>
        <n v="40897.4"/>
        <n v="52618.65"/>
        <n v="21276.46"/>
        <n v="41626.35"/>
        <n v="12525.83"/>
        <n v="27888.38"/>
        <n v="14611.08"/>
        <n v="20699.18"/>
        <n v="43926.53"/>
        <n v="52270.23"/>
        <n v="28920.61"/>
        <n v="55805.55"/>
        <n v="50879.32"/>
        <n v="44173.86"/>
        <n v="54715.75"/>
        <n v="48080.06"/>
        <n v="45377.86"/>
        <n v="25826.2"/>
        <n v="54976.09"/>
        <n v="7657.82"/>
        <n v="11957.67"/>
        <n v="14290.57"/>
        <n v="30507.59"/>
        <n v="6782.65"/>
        <n v="24484.21"/>
        <n v="41408.55"/>
        <n v="23838.94"/>
        <n v="26409.39"/>
        <n v="53492.69"/>
        <n v="54615.91"/>
        <n v="29813.28"/>
        <n v="17074.49"/>
        <n v="12604.21"/>
        <n v="24419.66"/>
        <n v="16702.21"/>
        <n v="38356.05"/>
        <n v="15214.64"/>
        <n v="11424.04"/>
        <n v="17154.31"/>
        <n v="57367.1"/>
        <n v="4389.15"/>
        <n v="56618.55"/>
        <n v="12721.82"/>
        <n v="9158.21"/>
        <n v="9109.74"/>
        <n v="25457.73"/>
        <n v="14385.9"/>
        <n v="43538.04"/>
        <n v="32339.09"/>
        <n v="31779.24"/>
        <n v="51358.91"/>
        <n v="40099.22"/>
        <n v="16773.91"/>
        <n v="54659.04"/>
        <n v="46226.38"/>
        <n v="44473.22"/>
        <n v="29594.24"/>
        <n v="25262.03"/>
        <n v="28341.99"/>
        <n v="6720.39"/>
        <n v="10071.23"/>
        <n v="28294.06"/>
        <n v="19945.28"/>
        <n v="6817.45"/>
        <n v="27824.48"/>
        <n v="37839.5"/>
        <n v="48916.66"/>
        <n v="38228.9"/>
        <n v="32485.33"/>
        <n v="10861.87"/>
        <n v="61087.41"/>
        <n v="67611.05"/>
        <n v="11003.29"/>
        <n v="7450.7"/>
        <n v="23158.03"/>
        <n v="14429.29"/>
        <n v="18636.14"/>
        <n v="19378.97"/>
        <n v="10587.6"/>
        <n v="9211.31"/>
        <n v="10104.37"/>
        <n v="41923.95"/>
        <n v="60073.98"/>
        <n v="67414.57"/>
        <n v="21786.98"/>
        <n v="36420.73"/>
        <n v="39262.64"/>
        <n v="47096.99"/>
        <n v="18498.35"/>
        <n v="51504.78"/>
        <n v="7698.3"/>
        <n v="12728.54"/>
        <n v="16597.48"/>
        <n v="13483.06"/>
        <n v="30533.15"/>
        <n v="41648.42"/>
        <n v="18277.3"/>
        <n v="23963.95"/>
        <n v="39474.43"/>
        <n v="53593.53"/>
        <n v="39222.91"/>
        <n v="27371.68"/>
        <n v="31439.4"/>
        <n v="46384.24"/>
        <n v="13205.66"/>
        <n v="28619.63"/>
        <n v="30077.65"/>
        <n v="43303.68"/>
        <n v="32751.66"/>
        <n v="38557.46"/>
        <n v="43564.79"/>
        <n v="39854.42"/>
        <n v="23360.68"/>
        <n v="27064.82"/>
        <n v="47692.28"/>
        <n v="5366.45"/>
        <n v="53868.46"/>
        <n v="26806.5"/>
        <n v="57338.92"/>
        <n v="32627.57"/>
        <n v="56019.92"/>
        <n v="20143.87"/>
        <n v="40774.6"/>
        <n v="32669.82"/>
        <n v="41031.71"/>
        <n v="59366.1"/>
        <n v="49037.44"/>
        <n v="11255.55"/>
        <n v="52849.86"/>
        <n v="30212.23"/>
        <n v="29222.17"/>
        <n v="8185.14"/>
        <n v="12597.54"/>
        <n v="13969.1"/>
        <n v="17536.53"/>
        <n v="12492.93"/>
        <n v="21983.84"/>
        <n v="42098.18"/>
        <n v="35695.1"/>
        <n v="7561.71"/>
        <n v="49476.66"/>
        <n v="32948.54"/>
        <n v="69616.09"/>
        <n v="65859.23"/>
        <n v="16520.4"/>
        <n v="29818.54"/>
        <n v="60178.85"/>
        <n v="11349.53"/>
        <n v="56540.52"/>
        <n v="42390.49"/>
        <n v="38569.31"/>
        <n v="19652.11"/>
        <n v="6763.99"/>
        <n v="10752.62"/>
        <n v="23169.24"/>
        <n v="23263.24"/>
        <n v="35567.58"/>
        <n v="16007.94"/>
        <n v="35223.73"/>
        <n v="32706.66"/>
        <n v="13591.63"/>
        <n v="57549.48"/>
        <n v="33910.41"/>
        <n v="25971.99"/>
        <n v="21457.57"/>
        <n v="27318.4"/>
        <n v="53994.62"/>
        <n v="20709.76"/>
        <n v="34057.74"/>
        <n v="15685.26"/>
        <n v="10007.64"/>
        <n v="45144.53"/>
        <n v="17236.9"/>
        <n v="29184.59"/>
        <n v="48702.73"/>
        <n v="21470.67"/>
        <n v="9313.5"/>
        <n v="41656.91"/>
        <n v="33186.97"/>
        <n v="43986.97"/>
        <n v="40357.87"/>
        <m/>
      </sharedItems>
    </cacheField>
    <cacheField name="Discount" numFmtId="0">
      <sharedItems containsString="0" containsBlank="1" containsNumber="1" containsInteger="1">
        <n v="20.0"/>
        <n v="30.0"/>
        <n v="15.0"/>
        <n v="40.0"/>
        <n v="10.0"/>
        <n v="0.0"/>
        <n v="5.0"/>
        <m/>
      </sharedItems>
    </cacheField>
    <cacheField name="CustomerType" numFmtId="0">
      <sharedItems containsBlank="1">
        <s v="Returning"/>
        <s v="New"/>
        <m/>
      </sharedItems>
    </cacheField>
    <cacheField name="Profit" numFmtId="0">
      <sharedItems containsString="0" containsBlank="1" containsNumber="1">
        <n v="4821.629999999999"/>
        <n v="8885.98"/>
        <n v="20136.739999999998"/>
        <n v="5521.32"/>
        <n v="34471.63"/>
        <n v="20002.6"/>
        <n v="6583.3499999999985"/>
        <n v="10498.54"/>
        <n v="6099.6500000000015"/>
        <n v="1511.17"/>
        <n v="12343.619999999999"/>
        <n v="9484.92"/>
        <n v="14704.82"/>
        <n v="13766.470000000001"/>
        <n v="-1940.3700000000008"/>
        <n v="15564.769999999997"/>
        <n v="12063.39"/>
        <n v="9818.449999999997"/>
        <n v="24662.68"/>
        <n v="32220.14"/>
        <n v="12626.25"/>
        <n v="30295.940000000002"/>
        <n v="26104.14"/>
        <n v="11222.8"/>
        <n v="22835.910000000003"/>
        <n v="6485.18"/>
        <n v="10592.33"/>
        <n v="2897.4300000000003"/>
        <n v="25635.41"/>
        <n v="2172.3500000000004"/>
        <n v="10456.79"/>
        <n v="10138.449999999997"/>
        <n v="14857.060000000001"/>
        <n v="5403.610000000001"/>
        <n v="24466.309999999998"/>
        <n v="17165.089999999997"/>
        <n v="14146.720000000001"/>
        <n v="6097.509999999998"/>
        <n v="10998.79"/>
        <n v="10199.34"/>
        <n v="12871.79"/>
        <n v="12468.949999999997"/>
        <n v="14689.36"/>
        <n v="2222.959999999999"/>
        <n v="4603.689999999999"/>
        <n v="7393.9000000000015"/>
        <n v="4278.85"/>
        <n v="21258.449999999997"/>
        <n v="10242.18"/>
        <n v="7128.790000000001"/>
        <n v="7012.26"/>
        <n v="17265.27"/>
        <n v="4216.1"/>
        <n v="11313.96"/>
        <n v="18094.91"/>
        <n v="48122.63"/>
        <n v="15135.759999999998"/>
        <n v="19476.089999999997"/>
        <n v="6827.779999999999"/>
        <n v="3865.09"/>
        <n v="7994.959999999999"/>
        <n v="19285.620000000003"/>
        <n v="17261.78"/>
        <n v="22004.76"/>
        <n v="19898.97"/>
        <n v="-8700.990000000002"/>
        <n v="759.6099999999997"/>
        <n v="4434.77"/>
        <n v="16126.939999999999"/>
        <n v="9673.720000000001"/>
        <n v="3938.55"/>
        <n v="25547.52"/>
        <n v="17496.5"/>
        <n v="20475.339999999997"/>
        <n v="14206.099999999999"/>
        <n v="8278.669999999998"/>
        <n v="8922.13"/>
        <n v="9573.589999999997"/>
        <n v="7525.949999999997"/>
        <n v="3877.709999999999"/>
        <n v="3138.3"/>
        <n v="20039.97"/>
        <n v="8241.71"/>
        <n v="11976.86"/>
        <n v="14520.029999999999"/>
        <n v="4413.4"/>
        <n v="8443.69"/>
        <n v="2241.629999999999"/>
        <n v="17045.050000000003"/>
        <n v="15765.019999999997"/>
        <n v="9107.429999999993"/>
        <n v="10039.02"/>
        <n v="16717.269999999997"/>
        <n v="30864.36"/>
        <n v="6315.010000000002"/>
        <n v="3942.6500000000015"/>
        <n v="20153.22"/>
        <n v="6056.7"/>
        <n v="6407.459999999999"/>
        <n v="12921.52"/>
        <n v="6731.9400000000005"/>
        <n v="-10892.150000000001"/>
        <n v="5370.580000000002"/>
        <n v="12573.7"/>
        <n v="23168.05"/>
        <n v="6447.57"/>
        <n v="18510.47"/>
        <n v="36354.09"/>
        <n v="3864.3199999999997"/>
        <n v="4466.5999999999985"/>
        <n v="24844.760000000002"/>
        <n v="6435.34"/>
        <n v="8993.369999999999"/>
        <n v="21456.35"/>
        <n v="12104.32"/>
        <n v="19733.34"/>
        <n v="20333.54"/>
        <n v="25440.21"/>
        <n v="7964.580000000002"/>
        <n v="22786.32"/>
        <n v="10824.18"/>
        <n v="8273.720000000001"/>
        <n v="3086.55"/>
        <n v="24798.54"/>
        <n v="19934.5"/>
        <n v="14259.080000000002"/>
        <n v="10011.43"/>
        <n v="14049.080000000002"/>
        <n v="9351.130000000001"/>
        <n v="10214.400000000001"/>
        <n v="26260.18"/>
        <n v="35252.29"/>
        <n v="10503.900000000001"/>
        <n v="13685.559999999998"/>
        <n v="58893.63"/>
        <n v="10618.45"/>
        <n v="9421.14"/>
        <n v="12469.77"/>
        <n v="7099.830000000002"/>
        <n v="4113.86"/>
        <n v="1849.4599999999991"/>
        <n v="4377.9"/>
        <n v="11550.470000000001"/>
        <n v="7815.07"/>
        <n v="18143.16"/>
        <n v="22538.82"/>
        <n v="5392.9000000000015"/>
        <n v="1510.29"/>
        <n v="13911.339999999997"/>
        <n v="4932.459999999999"/>
        <n v="8758.910000000003"/>
        <n v="10545.770000000004"/>
        <n v="15396.599999999999"/>
        <n v="10324.46"/>
        <n v="18268.15"/>
        <n v="7660.469999999999"/>
        <n v="8334.480000000003"/>
        <n v="13593.510000000002"/>
        <n v="12809.690000000002"/>
        <n v="2813.8899999999994"/>
        <n v="4639.01"/>
        <n v="10413.38"/>
        <n v="12430.759999999998"/>
        <n v="7744.759999999998"/>
        <n v="19954.42"/>
        <n v="5547.629999999999"/>
        <n v="5001.0599999999995"/>
        <n v="22628.269999999997"/>
        <n v="15507.34"/>
        <n v="5122.370000000001"/>
        <n v="20929.519999999997"/>
        <n v="18488.589999999997"/>
        <n v="4890.009999999998"/>
        <n v="14217.43"/>
        <n v="4531.5999999999985"/>
        <n v="-34353.62"/>
        <n v="2853.2400000000016"/>
        <n v="25860.260000000002"/>
        <n v="4846.74"/>
        <n v="4631.360000000001"/>
        <n v="-25503.53"/>
        <n v="1953.0999999999985"/>
        <n v="23374.41"/>
        <n v="29657.269999999997"/>
        <n v="19863.33"/>
        <n v="8508.5"/>
        <n v="21199.089999999997"/>
        <n v="5674.029999999999"/>
        <n v="12367.029999999999"/>
        <n v="22739.129999999997"/>
        <m/>
      </sharedItems>
    </cacheField>
    <cacheField name="Months" numFmtId="0">
      <sharedItems containsString="0" containsBlank="1" containsNumber="1" containsInteger="1">
        <n v="3.0"/>
        <n v="4.0"/>
        <n v="10.0"/>
        <n v="5.0"/>
        <n v="9.0"/>
        <n v="12.0"/>
        <n v="6.0"/>
        <n v="7.0"/>
        <n v="1.0"/>
        <n v="8.0"/>
        <n v="2.0"/>
        <n v="11.0"/>
        <m/>
      </sharedItems>
    </cacheField>
    <cacheField name="Discount_Category" numFmtId="0">
      <sharedItems containsBlank="1">
        <s v="Low Discount"/>
        <s v="High Discount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1000" sheet="Cleaned_Data"/>
  </cacheSource>
  <cacheFields>
    <cacheField name="OrderID" numFmtId="0">
      <sharedItems containsString="0" containsBlank="1" containsNumber="1" containsInteger="1"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m/>
      </sharedItems>
    </cacheField>
    <cacheField name="OrderDate" numFmtId="164">
      <sharedItems containsDate="1" containsString="0" containsBlank="1">
        <d v="2023-03-06T00:00:00Z"/>
        <d v="2023-04-02T00:00:00Z"/>
        <d v="2024-10-07T00:00:00Z"/>
        <d v="2023-10-15T00:00:00Z"/>
        <d v="2023-05-30T00:00:00Z"/>
        <d v="2023-09-23T00:00:00Z"/>
        <d v="2023-10-30T00:00:00Z"/>
        <d v="2024-03-11T00:00:00Z"/>
        <d v="2024-09-09T00:00:00Z"/>
        <d v="2023-12-11T00:00:00Z"/>
        <d v="2023-03-28T00:00:00Z"/>
        <d v="2024-09-03T00:00:00Z"/>
        <d v="2023-06-11T00:00:00Z"/>
        <d v="2023-07-02T00:00:00Z"/>
        <d v="2023-04-10T00:00:00Z"/>
        <d v="2023-05-10T00:00:00Z"/>
        <d v="2024-04-14T00:00:00Z"/>
        <d v="2024-07-12T00:00:00Z"/>
        <d v="2024-01-13T00:00:00Z"/>
        <d v="2024-03-01T00:00:00Z"/>
        <d v="2023-07-18T00:00:00Z"/>
        <d v="2024-05-25T00:00:00Z"/>
        <d v="2024-04-11T00:00:00Z"/>
        <d v="2024-08-27T00:00:00Z"/>
        <d v="2023-08-13T00:00:00Z"/>
        <d v="2024-09-26T00:00:00Z"/>
        <d v="2023-09-04T00:00:00Z"/>
        <d v="2024-07-13T00:00:00Z"/>
        <d v="2024-03-09T00:00:00Z"/>
        <d v="2024-01-23T00:00:00Z"/>
        <d v="2023-06-13T00:00:00Z"/>
        <d v="2024-03-13T00:00:00Z"/>
        <d v="2023-08-18T00:00:00Z"/>
        <d v="2024-08-12T00:00:00Z"/>
        <d v="2024-03-14T00:00:00Z"/>
        <d v="2023-12-07T00:00:00Z"/>
        <d v="2024-05-21T00:00:00Z"/>
        <d v="2023-06-27T00:00:00Z"/>
        <d v="2023-06-19T00:00:00Z"/>
        <d v="2024-02-17T00:00:00Z"/>
        <d v="2024-08-05T00:00:00Z"/>
        <d v="2023-01-16T00:00:00Z"/>
        <d v="2024-01-08T00:00:00Z"/>
        <d v="2023-12-20T00:00:00Z"/>
        <d v="2023-06-07T00:00:00Z"/>
        <d v="2023-04-18T00:00:00Z"/>
        <d v="2023-08-22T00:00:00Z"/>
        <d v="2023-08-12T00:00:00Z"/>
        <d v="2024-01-30T00:00:00Z"/>
        <d v="2023-04-19T00:00:00Z"/>
        <d v="2023-03-01T00:00:00Z"/>
        <d v="2023-01-22T00:00:00Z"/>
        <d v="2023-11-06T00:00:00Z"/>
        <d v="2023-03-05T00:00:00Z"/>
        <d v="2023-02-23T00:00:00Z"/>
        <d v="2024-01-15T00:00:00Z"/>
        <d v="2023-11-11T00:00:00Z"/>
        <d v="2023-09-18T00:00:00Z"/>
        <d v="2024-06-08T00:00:00Z"/>
        <d v="2024-10-14T00:00:00Z"/>
        <d v="2024-06-03T00:00:00Z"/>
        <d v="2024-05-24T00:00:00Z"/>
        <d v="2024-03-23T00:00:00Z"/>
        <d v="2024-05-29T00:00:00Z"/>
        <d v="2024-08-10T00:00:00Z"/>
        <d v="2023-04-16T00:00:00Z"/>
        <d v="2024-07-18T00:00:00Z"/>
        <d v="2024-04-01T00:00:00Z"/>
        <d v="2023-05-18T00:00:00Z"/>
        <d v="2024-06-24T00:00:00Z"/>
        <d v="2023-11-22T00:00:00Z"/>
        <d v="2023-12-13T00:00:00Z"/>
        <d v="2024-10-27T00:00:00Z"/>
        <d v="2024-04-16T00:00:00Z"/>
        <d v="2023-05-13T00:00:00Z"/>
        <d v="2024-04-10T00:00:00Z"/>
        <d v="2024-11-09T00:00:00Z"/>
        <d v="2023-04-20T00:00:00Z"/>
        <d v="2024-09-05T00:00:00Z"/>
        <d v="2023-06-04T00:00:00Z"/>
        <d v="2023-11-12T00:00:00Z"/>
        <d v="2024-02-07T00:00:00Z"/>
        <d v="2023-10-08T00:00:00Z"/>
        <d v="2023-06-17T00:00:00Z"/>
        <d v="2024-07-16T00:00:00Z"/>
        <d v="2024-11-23T00:00:00Z"/>
        <d v="2024-01-16T00:00:00Z"/>
        <d v="2023-02-24T00:00:00Z"/>
        <d v="2024-08-16T00:00:00Z"/>
        <d v="2023-09-11T00:00:00Z"/>
        <d v="2023-09-03T00:00:00Z"/>
        <d v="2024-03-08T00:00:00Z"/>
        <d v="2024-08-19T00:00:00Z"/>
        <d v="2024-06-13T00:00:00Z"/>
        <d v="2023-09-14T00:00:00Z"/>
        <d v="2023-12-01T00:00:00Z"/>
        <d v="2024-01-06T00:00:00Z"/>
        <d v="2023-06-10T00:00:00Z"/>
        <d v="2023-10-10T00:00:00Z"/>
        <d v="2024-05-28T00:00:00Z"/>
        <d v="2024-11-12T00:00:00Z"/>
        <d v="2023-10-22T00:00:00Z"/>
        <d v="2024-07-05T00:00:00Z"/>
        <d v="2023-09-19T00:00:00Z"/>
        <d v="2024-02-24T00:00:00Z"/>
        <d v="2023-01-05T00:00:00Z"/>
        <d v="2023-10-20T00:00:00Z"/>
        <d v="2024-07-02T00:00:00Z"/>
        <d v="2023-05-26T00:00:00Z"/>
        <d v="2024-03-12T00:00:00Z"/>
        <d v="2023-08-26T00:00:00Z"/>
        <d v="2024-09-06T00:00:00Z"/>
        <d v="2023-09-20T00:00:00Z"/>
        <d v="2024-05-04T00:00:00Z"/>
        <d v="2023-02-05T00:00:00Z"/>
        <d v="2023-08-01T00:00:00Z"/>
        <d v="2024-03-25T00:00:00Z"/>
        <d v="2023-03-25T00:00:00Z"/>
        <d v="2023-08-28T00:00:00Z"/>
        <d v="2024-03-03T00:00:00Z"/>
        <d v="2023-10-29T00:00:00Z"/>
        <d v="2023-09-07T00:00:00Z"/>
        <d v="2023-07-06T00:00:00Z"/>
        <d v="2023-09-22T00:00:00Z"/>
        <d v="2024-08-18T00:00:00Z"/>
        <d v="2023-12-08T00:00:00Z"/>
        <d v="2023-03-03T00:00:00Z"/>
        <d v="2024-08-25T00:00:00Z"/>
        <d v="2024-03-17T00:00:00Z"/>
        <d v="2023-01-03T00:00:00Z"/>
        <d v="2023-07-29T00:00:00Z"/>
        <d v="2024-10-24T00:00:00Z"/>
        <d v="2023-01-17T00:00:00Z"/>
        <d v="2024-02-20T00:00:00Z"/>
        <d v="2023-01-14T00:00:00Z"/>
        <d v="2023-03-31T00:00:00Z"/>
        <d v="2023-07-26T00:00:00Z"/>
        <d v="2023-09-01T00:00:00Z"/>
        <d v="2024-05-31T00:00:00Z"/>
        <d v="2024-05-13T00:00:00Z"/>
        <d v="2023-02-03T00:00:00Z"/>
        <d v="2023-10-19T00:00:00Z"/>
        <d v="2024-02-27T00:00:00Z"/>
        <d v="2024-11-03T00:00:00Z"/>
        <d v="2023-03-22T00:00:00Z"/>
        <d v="2024-08-02T00:00:00Z"/>
        <d v="2023-01-10T00:00:00Z"/>
        <d v="2023-05-20T00:00:00Z"/>
        <d v="2024-05-17T00:00:00Z"/>
        <d v="2024-11-19T00:00:00Z"/>
        <d v="2023-02-13T00:00:00Z"/>
        <d v="2024-03-31T00:00:00Z"/>
        <d v="2023-09-29T00:00:00Z"/>
        <d v="2024-03-30T00:00:00Z"/>
        <d v="2023-03-02T00:00:00Z"/>
        <d v="2024-10-15T00:00:00Z"/>
        <d v="2023-08-21T00:00:00Z"/>
        <d v="2024-06-06T00:00:00Z"/>
        <d v="2023-07-10T00:00:00Z"/>
        <d v="2024-07-27T00:00:00Z"/>
        <d v="2024-08-24T00:00:00Z"/>
        <d v="2023-12-26T00:00:00Z"/>
        <d v="2024-08-29T00:00:00Z"/>
        <d v="2024-03-02T00:00:00Z"/>
        <d v="2023-07-03T00:00:00Z"/>
        <d v="2023-06-15T00:00:00Z"/>
        <d v="2024-11-15T00:00:00Z"/>
        <m/>
      </sharedItems>
    </cacheField>
    <cacheField name="Product" numFmtId="0">
      <sharedItems containsBlank="1">
        <s v="Headphones"/>
        <s v="Mobile"/>
        <s v="Laptop"/>
        <s v="Keyboard"/>
        <s v="Mouse"/>
        <s v="Tablet"/>
        <m/>
      </sharedItems>
    </cacheField>
    <cacheField name="Category" numFmtId="0">
      <sharedItems containsBlank="1">
        <s v="Accessories"/>
        <s v="Electronics"/>
        <m/>
      </sharedItems>
    </cacheField>
    <cacheField name="Region" numFmtId="0">
      <sharedItems containsBlank="1">
        <s v="North"/>
        <s v="South"/>
        <s v="East"/>
        <s v="West"/>
        <m/>
      </sharedItems>
    </cacheField>
    <cacheField name="Sales" numFmtId="0">
      <sharedItems containsString="0" containsBlank="1" containsNumber="1" containsInteger="1">
        <n v="19641.0"/>
        <n v="22546.0"/>
        <n v="65307.0"/>
        <n v="19193.0"/>
        <n v="49291.0"/>
        <n v="60900.0"/>
        <n v="59202.0"/>
        <n v="31775.0"/>
        <n v="47726.0"/>
        <n v="14037.0"/>
        <n v="40232.0"/>
        <n v="24096.0"/>
        <n v="35404.0"/>
        <n v="57693.0"/>
        <n v="12879.0"/>
        <n v="67835.0"/>
        <n v="40984.0"/>
        <n v="65624.0"/>
        <n v="75542.0"/>
        <n v="76394.0"/>
        <n v="67342.0"/>
        <n v="78376.0"/>
        <n v="71482.0"/>
        <n v="37049.0"/>
        <n v="77812.0"/>
        <n v="14143.0"/>
        <n v="22550.0"/>
        <n v="17188.0"/>
        <n v="56143.0"/>
        <n v="8955.0"/>
        <n v="34941.0"/>
        <n v="51547.0"/>
        <n v="38696.0"/>
        <n v="31813.0"/>
        <n v="77959.0"/>
        <n v="71781.0"/>
        <n v="43960.0"/>
        <n v="23172.0"/>
        <n v="23603.0"/>
        <n v="34619.0"/>
        <n v="29574.0"/>
        <n v="50825.0"/>
        <n v="29904.0"/>
        <n v="13647.0"/>
        <n v="21758.0"/>
        <n v="64761.0"/>
        <n v="8668.0"/>
        <n v="77877.0"/>
        <n v="22964.0"/>
        <n v="16287.0"/>
        <n v="16122.0"/>
        <n v="42723.0"/>
        <n v="18602.0"/>
        <n v="54852.0"/>
        <n v="50434.0"/>
        <n v="62942.0"/>
        <n v="46915.0"/>
        <n v="70835.0"/>
        <n v="46927.0"/>
        <n v="20639.0"/>
        <n v="62654.0"/>
        <n v="65512.0"/>
        <n v="61735.0"/>
        <n v="51599.0"/>
        <n v="45161.0"/>
        <n v="7480.0"/>
        <n v="14506.0"/>
        <n v="44421.0"/>
        <n v="29619.0"/>
        <n v="10756.0"/>
        <n v="53372.0"/>
        <n v="55336.0"/>
        <n v="69392.0"/>
        <n v="52435.0"/>
        <n v="40764.0"/>
        <n v="19784.0"/>
        <n v="70661.0"/>
        <n v="75137.0"/>
        <n v="14881.0"/>
        <n v="10589.0"/>
        <n v="43198.0"/>
        <n v="22671.0"/>
        <n v="30613.0"/>
        <n v="33899.0"/>
        <n v="15001.0"/>
        <n v="17655.0"/>
        <n v="12346.0"/>
        <n v="58969.0"/>
        <n v="75839.0"/>
        <n v="76522.0"/>
        <n v="31826.0"/>
        <n v="53138.0"/>
        <n v="70127.0"/>
        <n v="53412.0"/>
        <n v="22441.0"/>
        <n v="71658.0"/>
        <n v="13755.0"/>
        <n v="19136.0"/>
        <n v="29519.0"/>
        <n v="20215.0"/>
        <n v="47019.0"/>
        <n v="30851.0"/>
        <n v="47132.0"/>
        <n v="45922.0"/>
        <n v="72104.0"/>
        <n v="75577.0"/>
        <n v="31236.0"/>
        <n v="35906.0"/>
        <n v="71229.0"/>
        <n v="37613.0"/>
        <n v="51534.0"/>
        <n v="55408.0"/>
        <n v="52485.0"/>
        <n v="58891.0"/>
        <n v="69005.0"/>
        <n v="47819.0"/>
        <n v="46147.0"/>
        <n v="37889.0"/>
        <n v="55966.0"/>
        <n v="8453.0"/>
        <n v="78667.0"/>
        <n v="46741.0"/>
        <n v="71598.0"/>
        <n v="42639.0"/>
        <n v="70069.0"/>
        <n v="29495.0"/>
        <n v="50989.0"/>
        <n v="58930.0"/>
        <n v="76284.0"/>
        <n v="69870.0"/>
        <n v="62723.0"/>
        <n v="73713.0"/>
        <n v="21874.0"/>
        <n v="62271.0"/>
        <n v="42682.0"/>
        <n v="36322.0"/>
        <n v="12299.0"/>
        <n v="14447.0"/>
        <n v="18347.0"/>
        <n v="29087.0"/>
        <n v="20308.0"/>
        <n v="40127.0"/>
        <n v="64637.0"/>
        <n v="41088.0"/>
        <n v="9072.0"/>
        <n v="63388.0"/>
        <n v="37881.0"/>
        <n v="78375.0"/>
        <n v="76405.0"/>
        <n v="31917.0"/>
        <n v="40143.0"/>
        <n v="78447.0"/>
        <n v="19010.0"/>
        <n v="64875.0"/>
        <n v="55984.0"/>
        <n v="51379.0"/>
        <n v="22466.0"/>
        <n v="11403.0"/>
        <n v="21166.0"/>
        <n v="35600.0"/>
        <n v="31008.0"/>
        <n v="55522.0"/>
        <n v="20367.0"/>
        <n v="21009.0"/>
        <n v="57852.0"/>
        <n v="48214.0"/>
        <n v="18714.0"/>
        <n v="78479.0"/>
        <n v="52399.0"/>
        <n v="30862.0"/>
        <n v="35675.0"/>
        <n v="31850.0"/>
        <n v="23563.0"/>
        <n v="59918.0"/>
        <n v="20532.0"/>
        <n v="14639.0"/>
        <n v="19190.0"/>
        <n v="52559.0"/>
        <n v="78360.0"/>
        <n v="41334.0"/>
        <n v="17822.0"/>
        <n v="62856.0"/>
        <n v="38861.0"/>
        <n v="56354.0"/>
        <n v="63097.0"/>
        <m/>
      </sharedItems>
    </cacheField>
    <cacheField name="Cost" numFmtId="0">
      <sharedItems containsString="0" containsBlank="1" containsNumber="1">
        <n v="14819.37"/>
        <n v="13660.02"/>
        <n v="45170.26"/>
        <n v="13671.68"/>
        <n v="40897.4"/>
        <n v="52618.65"/>
        <n v="21276.46"/>
        <n v="41626.35"/>
        <n v="12525.83"/>
        <n v="27888.38"/>
        <n v="14611.08"/>
        <n v="20699.18"/>
        <n v="43926.53"/>
        <n v="52270.23"/>
        <n v="28920.61"/>
        <n v="55805.55"/>
        <n v="50879.32"/>
        <n v="44173.86"/>
        <n v="54715.75"/>
        <n v="48080.06"/>
        <n v="45377.86"/>
        <n v="25826.2"/>
        <n v="54976.09"/>
        <n v="7657.82"/>
        <n v="11957.67"/>
        <n v="14290.57"/>
        <n v="30507.59"/>
        <n v="6782.65"/>
        <n v="24484.21"/>
        <n v="41408.55"/>
        <n v="23838.94"/>
        <n v="26409.39"/>
        <n v="53492.69"/>
        <n v="54615.91"/>
        <n v="29813.28"/>
        <n v="17074.49"/>
        <n v="12604.21"/>
        <n v="24419.66"/>
        <n v="16702.21"/>
        <n v="38356.05"/>
        <n v="15214.64"/>
        <n v="11424.04"/>
        <n v="17154.31"/>
        <n v="57367.1"/>
        <n v="4389.15"/>
        <n v="56618.55"/>
        <n v="12721.82"/>
        <n v="9158.21"/>
        <n v="9109.74"/>
        <n v="25457.73"/>
        <n v="14385.9"/>
        <n v="43538.04"/>
        <n v="32339.09"/>
        <n v="31779.24"/>
        <n v="51358.91"/>
        <n v="40099.22"/>
        <n v="16773.91"/>
        <n v="54659.04"/>
        <n v="46226.38"/>
        <n v="44473.22"/>
        <n v="29594.24"/>
        <n v="25262.03"/>
        <n v="28341.99"/>
        <n v="6720.39"/>
        <n v="10071.23"/>
        <n v="28294.06"/>
        <n v="19945.28"/>
        <n v="6817.45"/>
        <n v="27824.48"/>
        <n v="37839.5"/>
        <n v="48916.66"/>
        <n v="38228.9"/>
        <n v="32485.33"/>
        <n v="10861.87"/>
        <n v="61087.41"/>
        <n v="67611.05"/>
        <n v="11003.29"/>
        <n v="7450.7"/>
        <n v="23158.03"/>
        <n v="14429.29"/>
        <n v="18636.14"/>
        <n v="19378.97"/>
        <n v="10587.6"/>
        <n v="9211.31"/>
        <n v="10104.37"/>
        <n v="41923.95"/>
        <n v="60073.98"/>
        <n v="67414.57"/>
        <n v="21786.98"/>
        <n v="36420.73"/>
        <n v="39262.64"/>
        <n v="47096.99"/>
        <n v="18498.35"/>
        <n v="51504.78"/>
        <n v="7698.3"/>
        <n v="12728.54"/>
        <n v="16597.48"/>
        <n v="13483.06"/>
        <n v="30533.15"/>
        <n v="41648.42"/>
        <n v="18277.3"/>
        <n v="23963.95"/>
        <n v="39474.43"/>
        <n v="53593.53"/>
        <n v="39222.91"/>
        <n v="27371.68"/>
        <n v="31439.4"/>
        <n v="46384.24"/>
        <n v="13205.66"/>
        <n v="28619.63"/>
        <n v="30077.65"/>
        <n v="43303.68"/>
        <n v="32751.66"/>
        <n v="38557.46"/>
        <n v="43564.79"/>
        <n v="39854.42"/>
        <n v="23360.68"/>
        <n v="27064.82"/>
        <n v="47692.28"/>
        <n v="5366.45"/>
        <n v="53868.46"/>
        <n v="26806.5"/>
        <n v="57338.92"/>
        <n v="32627.57"/>
        <n v="56019.92"/>
        <n v="20143.87"/>
        <n v="40774.6"/>
        <n v="32669.82"/>
        <n v="41031.71"/>
        <n v="59366.1"/>
        <n v="49037.44"/>
        <n v="11255.55"/>
        <n v="52849.86"/>
        <n v="30212.23"/>
        <n v="29222.17"/>
        <n v="8185.14"/>
        <n v="12597.54"/>
        <n v="13969.1"/>
        <n v="17536.53"/>
        <n v="12492.93"/>
        <n v="21983.84"/>
        <n v="42098.18"/>
        <n v="35695.1"/>
        <n v="7561.71"/>
        <n v="49476.66"/>
        <n v="32948.54"/>
        <n v="69616.09"/>
        <n v="65859.23"/>
        <n v="16520.4"/>
        <n v="29818.54"/>
        <n v="60178.85"/>
        <n v="11349.53"/>
        <n v="56540.52"/>
        <n v="42390.49"/>
        <n v="38569.31"/>
        <n v="19652.11"/>
        <n v="6763.99"/>
        <n v="10752.62"/>
        <n v="23169.24"/>
        <n v="23263.24"/>
        <n v="35567.58"/>
        <n v="16007.94"/>
        <n v="35223.73"/>
        <n v="32706.66"/>
        <n v="13591.63"/>
        <n v="57549.48"/>
        <n v="33910.41"/>
        <n v="25971.99"/>
        <n v="21457.57"/>
        <n v="27318.4"/>
        <n v="53994.62"/>
        <n v="20709.76"/>
        <n v="34057.74"/>
        <n v="15685.26"/>
        <n v="10007.64"/>
        <n v="45144.53"/>
        <n v="17236.9"/>
        <n v="29184.59"/>
        <n v="48702.73"/>
        <n v="21470.67"/>
        <n v="9313.5"/>
        <n v="41656.91"/>
        <n v="33186.97"/>
        <n v="43986.97"/>
        <n v="40357.87"/>
        <m/>
      </sharedItems>
    </cacheField>
    <cacheField name="Discount" numFmtId="0">
      <sharedItems containsString="0" containsBlank="1" containsNumber="1" containsInteger="1">
        <n v="20.0"/>
        <n v="30.0"/>
        <n v="15.0"/>
        <n v="40.0"/>
        <n v="10.0"/>
        <n v="0.0"/>
        <n v="5.0"/>
        <m/>
      </sharedItems>
    </cacheField>
    <cacheField name="CustomerType" numFmtId="0">
      <sharedItems containsBlank="1">
        <s v="Returning"/>
        <s v="New"/>
        <m/>
      </sharedItems>
    </cacheField>
    <cacheField name="Profit" numFmtId="0">
      <sharedItems containsString="0" containsBlank="1" containsNumber="1">
        <n v="4821.629999999999"/>
        <n v="8885.98"/>
        <n v="20136.739999999998"/>
        <n v="5521.32"/>
        <n v="34471.63"/>
        <n v="20002.6"/>
        <n v="6583.3499999999985"/>
        <n v="10498.54"/>
        <n v="6099.6500000000015"/>
        <n v="1511.17"/>
        <n v="12343.619999999999"/>
        <n v="9484.92"/>
        <n v="14704.82"/>
        <n v="13766.470000000001"/>
        <n v="-1940.3700000000008"/>
        <n v="15564.769999999997"/>
        <n v="12063.39"/>
        <n v="9818.449999999997"/>
        <n v="24662.68"/>
        <n v="32220.14"/>
        <n v="12626.25"/>
        <n v="30295.940000000002"/>
        <n v="26104.14"/>
        <n v="11222.8"/>
        <n v="22835.910000000003"/>
        <n v="6485.18"/>
        <n v="10592.33"/>
        <n v="2897.4300000000003"/>
        <n v="25635.41"/>
        <n v="2172.3500000000004"/>
        <n v="10456.79"/>
        <n v="10138.449999999997"/>
        <n v="14857.060000000001"/>
        <n v="5403.610000000001"/>
        <n v="24466.309999999998"/>
        <n v="17165.089999999997"/>
        <n v="14146.720000000001"/>
        <n v="6097.509999999998"/>
        <n v="10998.79"/>
        <n v="10199.34"/>
        <n v="12871.79"/>
        <n v="12468.949999999997"/>
        <n v="14689.36"/>
        <n v="2222.959999999999"/>
        <n v="4603.689999999999"/>
        <n v="7393.9000000000015"/>
        <n v="4278.85"/>
        <n v="21258.449999999997"/>
        <n v="10242.18"/>
        <n v="7128.790000000001"/>
        <n v="7012.26"/>
        <n v="17265.27"/>
        <n v="4216.1"/>
        <n v="11313.96"/>
        <n v="18094.91"/>
        <n v="48122.63"/>
        <n v="15135.759999999998"/>
        <n v="19476.089999999997"/>
        <n v="6827.779999999999"/>
        <n v="3865.09"/>
        <n v="7994.959999999999"/>
        <n v="19285.620000000003"/>
        <n v="17261.78"/>
        <n v="22004.76"/>
        <n v="19898.97"/>
        <n v="-8700.990000000002"/>
        <n v="759.6099999999997"/>
        <n v="4434.77"/>
        <n v="16126.939999999999"/>
        <n v="9673.720000000001"/>
        <n v="3938.55"/>
        <n v="25547.52"/>
        <n v="17496.5"/>
        <n v="20475.339999999997"/>
        <n v="14206.099999999999"/>
        <n v="8278.669999999998"/>
        <n v="8922.13"/>
        <n v="9573.589999999997"/>
        <n v="7525.949999999997"/>
        <n v="3877.709999999999"/>
        <n v="3138.3"/>
        <n v="20039.97"/>
        <n v="8241.71"/>
        <n v="11976.86"/>
        <n v="14520.029999999999"/>
        <n v="4413.4"/>
        <n v="8443.69"/>
        <n v="2241.629999999999"/>
        <n v="17045.050000000003"/>
        <n v="15765.019999999997"/>
        <n v="9107.429999999993"/>
        <n v="10039.02"/>
        <n v="16717.269999999997"/>
        <n v="30864.36"/>
        <n v="6315.010000000002"/>
        <n v="3942.6500000000015"/>
        <n v="20153.22"/>
        <n v="6056.7"/>
        <n v="6407.459999999999"/>
        <n v="12921.52"/>
        <n v="6731.9400000000005"/>
        <n v="-10892.150000000001"/>
        <n v="5370.580000000002"/>
        <n v="12573.7"/>
        <n v="23168.05"/>
        <n v="6447.57"/>
        <n v="18510.47"/>
        <n v="36354.09"/>
        <n v="3864.3199999999997"/>
        <n v="4466.5999999999985"/>
        <n v="24844.760000000002"/>
        <n v="6435.34"/>
        <n v="8993.369999999999"/>
        <n v="21456.35"/>
        <n v="12104.32"/>
        <n v="19733.34"/>
        <n v="20333.54"/>
        <n v="25440.21"/>
        <n v="7964.580000000002"/>
        <n v="22786.32"/>
        <n v="10824.18"/>
        <n v="8273.720000000001"/>
        <n v="3086.55"/>
        <n v="24798.54"/>
        <n v="19934.5"/>
        <n v="14259.080000000002"/>
        <n v="10011.43"/>
        <n v="14049.080000000002"/>
        <n v="9351.130000000001"/>
        <n v="10214.400000000001"/>
        <n v="26260.18"/>
        <n v="35252.29"/>
        <n v="10503.900000000001"/>
        <n v="13685.559999999998"/>
        <n v="58893.63"/>
        <n v="10618.45"/>
        <n v="9421.14"/>
        <n v="12469.77"/>
        <n v="7099.830000000002"/>
        <n v="4113.86"/>
        <n v="1849.4599999999991"/>
        <n v="4377.9"/>
        <n v="11550.470000000001"/>
        <n v="7815.07"/>
        <n v="18143.16"/>
        <n v="22538.82"/>
        <n v="5392.9000000000015"/>
        <n v="1510.29"/>
        <n v="13911.339999999997"/>
        <n v="4932.459999999999"/>
        <n v="8758.910000000003"/>
        <n v="10545.770000000004"/>
        <n v="15396.599999999999"/>
        <n v="10324.46"/>
        <n v="18268.15"/>
        <n v="7660.469999999999"/>
        <n v="8334.480000000003"/>
        <n v="13593.510000000002"/>
        <n v="12809.690000000002"/>
        <n v="2813.8899999999994"/>
        <n v="4639.01"/>
        <n v="10413.38"/>
        <n v="12430.759999999998"/>
        <n v="7744.759999999998"/>
        <n v="19954.42"/>
        <n v="5547.629999999999"/>
        <n v="5001.0599999999995"/>
        <n v="22628.269999999997"/>
        <n v="15507.34"/>
        <n v="5122.370000000001"/>
        <n v="20929.519999999997"/>
        <n v="18488.589999999997"/>
        <n v="4890.009999999998"/>
        <n v="14217.43"/>
        <n v="4531.5999999999985"/>
        <n v="-34353.62"/>
        <n v="2853.2400000000016"/>
        <n v="25860.260000000002"/>
        <n v="4846.74"/>
        <n v="4631.360000000001"/>
        <n v="-25503.53"/>
        <n v="1953.0999999999985"/>
        <n v="23374.41"/>
        <n v="29657.269999999997"/>
        <n v="19863.33"/>
        <n v="8508.5"/>
        <n v="21199.089999999997"/>
        <n v="5674.029999999999"/>
        <n v="12367.029999999999"/>
        <n v="22739.129999999997"/>
        <m/>
      </sharedItems>
    </cacheField>
    <cacheField name="Months" numFmtId="0">
      <sharedItems containsString="0" containsBlank="1" containsNumber="1" containsInteger="1">
        <n v="3.0"/>
        <n v="4.0"/>
        <n v="10.0"/>
        <n v="5.0"/>
        <n v="9.0"/>
        <n v="12.0"/>
        <n v="6.0"/>
        <n v="7.0"/>
        <n v="1.0"/>
        <n v="8.0"/>
        <n v="2.0"/>
        <n v="11.0"/>
        <m/>
      </sharedItems>
    </cacheField>
    <cacheField name="Discount_Category" numFmtId="0">
      <sharedItems containsBlank="1">
        <s v="Low Discount"/>
        <s v="High Discount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14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 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ustomerType" compact="0" outline="0" multipleItemSelectionAllowed="1" showAll="0">
      <items>
        <item x="0"/>
        <item x="1"/>
        <item x="2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scount_Category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"/>
  </rowFields>
  <dataFields>
    <dataField name="SUM of Sales" fld="5" baseField="0"/>
  </dataFields>
</pivotTableDefinition>
</file>

<file path=xl/pivotTables/pivotTable2.xml><?xml version="1.0" encoding="utf-8"?>
<pivotTableDefinition xmlns="http://schemas.openxmlformats.org/spreadsheetml/2006/main" name="Pivot Table 1 2" cacheId="1" dataCaption="" compact="0" compactData="0">
  <location ref="A25:B32" firstHeaderRow="0" firstDataRow="1" firstDataCol="0" rowPageCount="1" colPageCount="1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OrderDate" axis="axisPag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h="1" x="167"/>
        <item t="default"/>
      </items>
    </pivotField>
    <pivotField name="Product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ustomerType" compact="0" outline="0" multipleItemSelectionAllowed="1" showAll="0">
      <items>
        <item x="0"/>
        <item x="1"/>
        <item x="2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scount_Category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2"/>
  </rowFields>
  <pageFields>
    <pageField fld="1"/>
  </pageFields>
  <dataFields>
    <dataField name="SUM of Sales" fld="5" baseField="0"/>
  </dataFields>
</pivotTableDefinition>
</file>

<file path=xl/pivotTables/pivotTable3.xml><?xml version="1.0" encoding="utf-8"?>
<pivotTableDefinition xmlns="http://schemas.openxmlformats.org/spreadsheetml/2006/main" name="Pivot Table 1 3" cacheId="1" dataCaption="" compact="0" compactData="0">
  <location ref="A49:B54" firstHeaderRow="0" firstDataRow="1" firstDataCol="0" rowPageCount="1" colPageCount="1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OrderDate" axis="axisPag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h="1" x="167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Region" axis="axisRow" compact="0" outline="0" multipleItemSelectionAllowed="1" showAll="0" sortType="ascending">
      <items>
        <item x="4"/>
        <item x="2"/>
        <item x="0"/>
        <item x="1"/>
        <item x="3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ustomerType" compact="0" outline="0" multipleItemSelectionAllowed="1" showAll="0">
      <items>
        <item x="0"/>
        <item x="1"/>
        <item x="2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scount_Category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4"/>
  </rowFields>
  <pageFields>
    <pageField fld="1"/>
  </pageFields>
  <dataFields>
    <dataField name="SUM of Profit" fld="9" baseField="0"/>
  </dataFields>
</pivotTableDefinition>
</file>

<file path=xl/pivotTables/pivotTable4.xml><?xml version="1.0" encoding="utf-8"?>
<pivotTableDefinition xmlns="http://schemas.openxmlformats.org/spreadsheetml/2006/main" name="Pivot Table 1 4" cacheId="1" dataCaption="" compact="0" compactData="0">
  <location ref="A72:B75" firstHeaderRow="0" firstDataRow="1" firstDataCol="0" rowPageCount="1" colPageCount="1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OrderDate" axis="axisPag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h="1" x="167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ustomerType" compact="0" outline="0" multipleItemSelectionAllowed="1" showAll="0">
      <items>
        <item x="0"/>
        <item x="1"/>
        <item x="2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scount_Category" axis="axisRow" compact="0" outline="0" multipleItemSelectionAllowed="1" showAll="0" sortType="a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11"/>
  </rowFields>
  <pageFields>
    <pageField fld="1"/>
  </pageFields>
  <dataFields>
    <dataField name="AVERAGE of Profit" fld="9" subtotal="average" baseField="0"/>
  </dataFields>
</pivotTableDefinition>
</file>

<file path=xl/pivotTables/pivotTable5.xml><?xml version="1.0" encoding="utf-8"?>
<pivotTableDefinition xmlns="http://schemas.openxmlformats.org/spreadsheetml/2006/main" name="Pivot Table 1 5" cacheId="1" dataCaption="" compact="0" compactData="0">
  <location ref="A88:B91" firstHeaderRow="0" firstDataRow="1" firstDataCol="0" rowPageCount="1" colPageCount="1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OrderDate" axis="axisPag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h="1" x="167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ustomerType" axis="axisRow" compact="0" outline="0" multipleItemSelectionAllowed="1" showAll="0" sortType="ascending">
      <items>
        <item x="2"/>
        <item x="1"/>
        <item x="0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Month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scount_Category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</pivotFields>
  <rowFields>
    <field x="8"/>
  </rowFields>
  <pageFields>
    <pageField fld="1"/>
  </pageFields>
  <dataFields>
    <dataField name="Percentage of sales" fld="5" showDataAs="percentOfCol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1001.0</v>
      </c>
      <c r="B2" s="2">
        <v>44991.0</v>
      </c>
      <c r="C2" s="1" t="s">
        <v>9</v>
      </c>
      <c r="D2" s="1" t="s">
        <v>10</v>
      </c>
      <c r="E2" s="1" t="s">
        <v>11</v>
      </c>
      <c r="F2" s="1">
        <v>19641.0</v>
      </c>
      <c r="G2" s="1">
        <v>14819.37</v>
      </c>
      <c r="H2" s="1">
        <v>20.0</v>
      </c>
      <c r="I2" s="1" t="s">
        <v>12</v>
      </c>
    </row>
    <row r="3">
      <c r="A3" s="1">
        <v>1002.0</v>
      </c>
      <c r="B3" s="2">
        <v>45018.0</v>
      </c>
      <c r="C3" s="1" t="s">
        <v>9</v>
      </c>
      <c r="D3" s="1" t="s">
        <v>10</v>
      </c>
      <c r="E3" s="1" t="s">
        <v>13</v>
      </c>
      <c r="F3" s="1">
        <v>22546.0</v>
      </c>
      <c r="G3" s="1">
        <v>13660.02</v>
      </c>
      <c r="H3" s="1">
        <v>30.0</v>
      </c>
      <c r="I3" s="1" t="s">
        <v>14</v>
      </c>
    </row>
    <row r="4">
      <c r="A4" s="1">
        <v>1003.0</v>
      </c>
      <c r="B4" s="2">
        <v>45572.0</v>
      </c>
      <c r="C4" s="1" t="s">
        <v>15</v>
      </c>
      <c r="D4" s="1" t="s">
        <v>16</v>
      </c>
      <c r="E4" s="1" t="s">
        <v>17</v>
      </c>
      <c r="F4" s="1">
        <v>65307.0</v>
      </c>
      <c r="G4" s="1">
        <v>45170.26</v>
      </c>
      <c r="H4" s="1">
        <v>30.0</v>
      </c>
      <c r="I4" s="1" t="s">
        <v>12</v>
      </c>
    </row>
    <row r="5">
      <c r="A5" s="1">
        <v>1004.0</v>
      </c>
      <c r="B5" s="2">
        <v>45214.0</v>
      </c>
      <c r="C5" s="1" t="s">
        <v>18</v>
      </c>
      <c r="D5" s="1" t="s">
        <v>16</v>
      </c>
      <c r="E5" s="1" t="s">
        <v>17</v>
      </c>
      <c r="F5" s="1">
        <v>19193.0</v>
      </c>
      <c r="G5" s="1">
        <v>13671.68</v>
      </c>
      <c r="H5" s="1">
        <v>20.0</v>
      </c>
      <c r="I5" s="1" t="s">
        <v>14</v>
      </c>
    </row>
    <row r="6">
      <c r="A6" s="1">
        <v>1005.0</v>
      </c>
      <c r="B6" s="2">
        <v>45076.0</v>
      </c>
      <c r="C6" s="1" t="s">
        <v>19</v>
      </c>
      <c r="D6" s="1" t="s">
        <v>10</v>
      </c>
      <c r="E6" s="1" t="s">
        <v>13</v>
      </c>
      <c r="F6" s="1">
        <v>49291.0</v>
      </c>
      <c r="H6" s="1">
        <v>15.0</v>
      </c>
      <c r="I6" s="1" t="s">
        <v>14</v>
      </c>
    </row>
    <row r="7">
      <c r="A7" s="1">
        <v>1006.0</v>
      </c>
      <c r="B7" s="2">
        <v>45192.0</v>
      </c>
      <c r="C7" s="1" t="s">
        <v>20</v>
      </c>
      <c r="D7" s="1" t="s">
        <v>10</v>
      </c>
      <c r="E7" s="1" t="s">
        <v>17</v>
      </c>
      <c r="F7" s="1">
        <v>60900.0</v>
      </c>
      <c r="G7" s="1">
        <v>40897.4</v>
      </c>
      <c r="H7" s="1">
        <v>40.0</v>
      </c>
      <c r="I7" s="1" t="s">
        <v>14</v>
      </c>
    </row>
    <row r="8">
      <c r="A8" s="1">
        <v>1007.0</v>
      </c>
      <c r="B8" s="2">
        <v>45229.0</v>
      </c>
      <c r="C8" s="1" t="s">
        <v>15</v>
      </c>
      <c r="D8" s="1" t="s">
        <v>16</v>
      </c>
      <c r="E8" s="1" t="s">
        <v>17</v>
      </c>
      <c r="F8" s="1">
        <v>59202.0</v>
      </c>
      <c r="G8" s="1">
        <v>52618.65</v>
      </c>
      <c r="H8" s="1">
        <v>15.0</v>
      </c>
      <c r="I8" s="1" t="s">
        <v>12</v>
      </c>
    </row>
    <row r="9">
      <c r="A9" s="1">
        <v>1008.0</v>
      </c>
      <c r="B9" s="2">
        <v>45362.0</v>
      </c>
      <c r="C9" s="1" t="s">
        <v>21</v>
      </c>
      <c r="D9" s="1" t="s">
        <v>16</v>
      </c>
      <c r="E9" s="1" t="s">
        <v>13</v>
      </c>
      <c r="F9" s="1">
        <v>31775.0</v>
      </c>
      <c r="G9" s="1">
        <v>21276.46</v>
      </c>
      <c r="H9" s="1">
        <v>10.0</v>
      </c>
      <c r="I9" s="1" t="s">
        <v>14</v>
      </c>
    </row>
    <row r="10">
      <c r="A10" s="1">
        <v>1009.0</v>
      </c>
      <c r="B10" s="2">
        <v>45544.0</v>
      </c>
      <c r="C10" s="1" t="s">
        <v>21</v>
      </c>
      <c r="D10" s="1" t="s">
        <v>16</v>
      </c>
      <c r="E10" s="1" t="s">
        <v>13</v>
      </c>
      <c r="F10" s="1">
        <v>47726.0</v>
      </c>
      <c r="G10" s="1">
        <v>41626.35</v>
      </c>
      <c r="H10" s="1">
        <v>15.0</v>
      </c>
      <c r="I10" s="1" t="s">
        <v>14</v>
      </c>
    </row>
    <row r="11">
      <c r="A11" s="1">
        <v>1010.0</v>
      </c>
      <c r="B11" s="2">
        <v>45271.0</v>
      </c>
      <c r="C11" s="1" t="s">
        <v>18</v>
      </c>
      <c r="D11" s="1" t="s">
        <v>16</v>
      </c>
      <c r="E11" s="1" t="s">
        <v>11</v>
      </c>
      <c r="F11" s="1">
        <v>14037.0</v>
      </c>
      <c r="G11" s="1">
        <v>12525.83</v>
      </c>
      <c r="H11" s="1">
        <v>15.0</v>
      </c>
      <c r="I11" s="1" t="s">
        <v>12</v>
      </c>
    </row>
    <row r="12">
      <c r="A12" s="1">
        <v>1011.0</v>
      </c>
      <c r="B12" s="2">
        <v>45013.0</v>
      </c>
      <c r="C12" s="1" t="s">
        <v>21</v>
      </c>
      <c r="D12" s="1" t="s">
        <v>16</v>
      </c>
      <c r="E12" s="1" t="s">
        <v>17</v>
      </c>
      <c r="F12" s="1">
        <v>40232.0</v>
      </c>
      <c r="G12" s="1">
        <v>27888.38</v>
      </c>
      <c r="H12" s="1">
        <v>0.0</v>
      </c>
      <c r="I12" s="1" t="s">
        <v>14</v>
      </c>
    </row>
    <row r="13">
      <c r="A13" s="1">
        <v>1012.0</v>
      </c>
      <c r="B13" s="2">
        <v>45538.0</v>
      </c>
      <c r="C13" s="1" t="s">
        <v>19</v>
      </c>
      <c r="D13" s="1" t="s">
        <v>10</v>
      </c>
      <c r="E13" s="1" t="s">
        <v>13</v>
      </c>
      <c r="F13" s="1">
        <v>24096.0</v>
      </c>
      <c r="G13" s="1">
        <v>14611.08</v>
      </c>
      <c r="H13" s="1">
        <v>15.0</v>
      </c>
      <c r="I13" s="1" t="s">
        <v>12</v>
      </c>
    </row>
    <row r="14">
      <c r="A14" s="1">
        <v>1013.0</v>
      </c>
      <c r="B14" s="2">
        <v>45088.0</v>
      </c>
      <c r="C14" s="1" t="s">
        <v>9</v>
      </c>
      <c r="D14" s="1" t="s">
        <v>10</v>
      </c>
      <c r="E14" s="1" t="s">
        <v>11</v>
      </c>
      <c r="F14" s="1">
        <v>35404.0</v>
      </c>
      <c r="G14" s="1">
        <v>20699.18</v>
      </c>
      <c r="H14" s="1">
        <v>5.0</v>
      </c>
      <c r="I14" s="1" t="s">
        <v>14</v>
      </c>
    </row>
    <row r="15">
      <c r="A15" s="1">
        <v>1014.0</v>
      </c>
      <c r="B15" s="2">
        <v>45109.0</v>
      </c>
      <c r="C15" s="1" t="s">
        <v>9</v>
      </c>
      <c r="D15" s="1" t="s">
        <v>10</v>
      </c>
      <c r="E15" s="1" t="s">
        <v>13</v>
      </c>
      <c r="F15" s="1">
        <v>57693.0</v>
      </c>
      <c r="G15" s="1">
        <v>43926.53</v>
      </c>
      <c r="H15" s="1">
        <v>0.0</v>
      </c>
      <c r="I15" s="1" t="s">
        <v>12</v>
      </c>
    </row>
    <row r="16">
      <c r="A16" s="1">
        <v>1015.0</v>
      </c>
      <c r="B16" s="2">
        <v>45026.0</v>
      </c>
      <c r="C16" s="1" t="s">
        <v>15</v>
      </c>
      <c r="D16" s="1" t="s">
        <v>16</v>
      </c>
      <c r="E16" s="1" t="s">
        <v>22</v>
      </c>
      <c r="F16" s="1">
        <v>12879.0</v>
      </c>
      <c r="H16" s="1">
        <v>40.0</v>
      </c>
      <c r="I16" s="1" t="s">
        <v>14</v>
      </c>
    </row>
    <row r="17">
      <c r="A17" s="1">
        <v>1016.0</v>
      </c>
      <c r="B17" s="2">
        <v>45056.0</v>
      </c>
      <c r="C17" s="1" t="s">
        <v>9</v>
      </c>
      <c r="D17" s="1" t="s">
        <v>10</v>
      </c>
      <c r="E17" s="1" t="s">
        <v>11</v>
      </c>
      <c r="F17" s="1">
        <v>67835.0</v>
      </c>
      <c r="G17" s="1">
        <v>52270.23</v>
      </c>
      <c r="H17" s="1">
        <v>10.0</v>
      </c>
      <c r="I17" s="1" t="s">
        <v>12</v>
      </c>
    </row>
    <row r="18">
      <c r="A18" s="1">
        <v>1017.0</v>
      </c>
      <c r="B18" s="2">
        <v>45396.0</v>
      </c>
      <c r="C18" s="1" t="s">
        <v>9</v>
      </c>
      <c r="D18" s="1" t="s">
        <v>10</v>
      </c>
      <c r="E18" s="1" t="s">
        <v>17</v>
      </c>
      <c r="F18" s="1">
        <v>40984.0</v>
      </c>
      <c r="G18" s="1">
        <v>28920.61</v>
      </c>
      <c r="H18" s="1">
        <v>0.0</v>
      </c>
      <c r="I18" s="1" t="s">
        <v>14</v>
      </c>
    </row>
    <row r="19">
      <c r="A19" s="1">
        <v>1018.0</v>
      </c>
      <c r="B19" s="2">
        <v>45485.0</v>
      </c>
      <c r="C19" s="1" t="s">
        <v>20</v>
      </c>
      <c r="D19" s="1" t="s">
        <v>10</v>
      </c>
      <c r="E19" s="1" t="s">
        <v>13</v>
      </c>
      <c r="F19" s="1">
        <v>65624.0</v>
      </c>
      <c r="G19" s="1">
        <v>55805.55</v>
      </c>
      <c r="H19" s="1">
        <v>40.0</v>
      </c>
      <c r="I19" s="1" t="s">
        <v>12</v>
      </c>
    </row>
    <row r="20">
      <c r="A20" s="1">
        <v>1019.0</v>
      </c>
      <c r="B20" s="2">
        <v>45304.0</v>
      </c>
      <c r="C20" s="1" t="s">
        <v>21</v>
      </c>
      <c r="D20" s="1" t="s">
        <v>16</v>
      </c>
      <c r="E20" s="1" t="s">
        <v>22</v>
      </c>
      <c r="F20" s="1">
        <v>75542.0</v>
      </c>
      <c r="G20" s="1">
        <v>50879.32</v>
      </c>
      <c r="H20" s="1">
        <v>15.0</v>
      </c>
      <c r="I20" s="1" t="s">
        <v>12</v>
      </c>
    </row>
    <row r="21">
      <c r="A21" s="1">
        <v>1020.0</v>
      </c>
      <c r="B21" s="2">
        <v>45352.0</v>
      </c>
      <c r="C21" s="1" t="s">
        <v>20</v>
      </c>
      <c r="D21" s="1" t="s">
        <v>10</v>
      </c>
      <c r="E21" s="1" t="s">
        <v>13</v>
      </c>
      <c r="F21" s="1">
        <v>76394.0</v>
      </c>
      <c r="G21" s="1">
        <v>44173.86</v>
      </c>
      <c r="H21" s="1">
        <v>15.0</v>
      </c>
      <c r="I21" s="1" t="s">
        <v>14</v>
      </c>
    </row>
    <row r="22">
      <c r="A22" s="1">
        <v>1021.0</v>
      </c>
      <c r="B22" s="2">
        <v>45125.0</v>
      </c>
      <c r="C22" s="1" t="s">
        <v>20</v>
      </c>
      <c r="D22" s="1" t="s">
        <v>10</v>
      </c>
      <c r="E22" s="1" t="s">
        <v>17</v>
      </c>
      <c r="F22" s="1">
        <v>67342.0</v>
      </c>
      <c r="G22" s="1">
        <v>54715.75</v>
      </c>
      <c r="H22" s="1">
        <v>10.0</v>
      </c>
      <c r="I22" s="1" t="s">
        <v>14</v>
      </c>
    </row>
    <row r="23">
      <c r="A23" s="1">
        <v>1022.0</v>
      </c>
      <c r="B23" s="2">
        <v>45437.0</v>
      </c>
      <c r="C23" s="1" t="s">
        <v>19</v>
      </c>
      <c r="D23" s="1" t="s">
        <v>10</v>
      </c>
      <c r="E23" s="1" t="s">
        <v>17</v>
      </c>
      <c r="F23" s="1">
        <v>78376.0</v>
      </c>
      <c r="G23" s="1">
        <v>48080.06</v>
      </c>
      <c r="H23" s="1">
        <v>40.0</v>
      </c>
      <c r="I23" s="1" t="s">
        <v>14</v>
      </c>
    </row>
    <row r="24">
      <c r="A24" s="1">
        <v>1023.0</v>
      </c>
      <c r="B24" s="2">
        <v>45393.0</v>
      </c>
      <c r="C24" s="1" t="s">
        <v>21</v>
      </c>
      <c r="D24" s="1" t="s">
        <v>16</v>
      </c>
      <c r="E24" s="1" t="s">
        <v>17</v>
      </c>
      <c r="F24" s="1">
        <v>71482.0</v>
      </c>
      <c r="G24" s="1">
        <v>45377.86</v>
      </c>
      <c r="H24" s="1">
        <v>40.0</v>
      </c>
      <c r="I24" s="1" t="s">
        <v>12</v>
      </c>
    </row>
    <row r="25">
      <c r="A25" s="1">
        <v>1024.0</v>
      </c>
      <c r="B25" s="2">
        <v>45531.0</v>
      </c>
      <c r="C25" s="1" t="s">
        <v>19</v>
      </c>
      <c r="D25" s="1" t="s">
        <v>10</v>
      </c>
      <c r="E25" s="1" t="s">
        <v>22</v>
      </c>
      <c r="F25" s="1">
        <v>37049.0</v>
      </c>
      <c r="G25" s="1">
        <v>25826.2</v>
      </c>
      <c r="H25" s="1">
        <v>40.0</v>
      </c>
      <c r="I25" s="1" t="s">
        <v>12</v>
      </c>
    </row>
    <row r="26">
      <c r="A26" s="1">
        <v>1025.0</v>
      </c>
      <c r="B26" s="2">
        <v>45151.0</v>
      </c>
      <c r="C26" s="1" t="s">
        <v>15</v>
      </c>
      <c r="D26" s="1" t="s">
        <v>16</v>
      </c>
      <c r="E26" s="1" t="s">
        <v>11</v>
      </c>
      <c r="F26" s="1">
        <v>77812.0</v>
      </c>
      <c r="G26" s="1">
        <v>54976.09</v>
      </c>
      <c r="H26" s="1">
        <v>40.0</v>
      </c>
      <c r="I26" s="1" t="s">
        <v>14</v>
      </c>
    </row>
    <row r="27">
      <c r="A27" s="1">
        <v>1026.0</v>
      </c>
      <c r="B27" s="2">
        <v>45561.0</v>
      </c>
      <c r="C27" s="1" t="s">
        <v>21</v>
      </c>
      <c r="D27" s="1" t="s">
        <v>16</v>
      </c>
      <c r="E27" s="1" t="s">
        <v>17</v>
      </c>
      <c r="F27" s="1">
        <v>14143.0</v>
      </c>
      <c r="G27" s="1">
        <v>7657.82</v>
      </c>
      <c r="H27" s="1">
        <v>15.0</v>
      </c>
      <c r="I27" s="1" t="s">
        <v>14</v>
      </c>
    </row>
    <row r="28">
      <c r="A28" s="1">
        <v>1027.0</v>
      </c>
      <c r="B28" s="2">
        <v>45173.0</v>
      </c>
      <c r="C28" s="1" t="s">
        <v>9</v>
      </c>
      <c r="D28" s="1" t="s">
        <v>10</v>
      </c>
      <c r="E28" s="1" t="s">
        <v>17</v>
      </c>
      <c r="F28" s="1">
        <v>22550.0</v>
      </c>
      <c r="G28" s="1">
        <v>11957.67</v>
      </c>
      <c r="H28" s="1">
        <v>0.0</v>
      </c>
      <c r="I28" s="1" t="s">
        <v>14</v>
      </c>
    </row>
    <row r="29">
      <c r="A29" s="1">
        <v>1028.0</v>
      </c>
      <c r="B29" s="2">
        <v>45486.0</v>
      </c>
      <c r="C29" s="1" t="s">
        <v>15</v>
      </c>
      <c r="D29" s="1" t="s">
        <v>16</v>
      </c>
      <c r="E29" s="1" t="s">
        <v>17</v>
      </c>
      <c r="F29" s="1">
        <v>17188.0</v>
      </c>
      <c r="G29" s="1">
        <v>14290.57</v>
      </c>
      <c r="H29" s="1">
        <v>30.0</v>
      </c>
      <c r="I29" s="1" t="s">
        <v>14</v>
      </c>
    </row>
    <row r="30">
      <c r="A30" s="1">
        <v>1029.0</v>
      </c>
      <c r="B30" s="2">
        <v>45360.0</v>
      </c>
      <c r="C30" s="1" t="s">
        <v>20</v>
      </c>
      <c r="D30" s="1" t="s">
        <v>10</v>
      </c>
      <c r="E30" s="1" t="s">
        <v>17</v>
      </c>
      <c r="F30" s="1">
        <v>56143.0</v>
      </c>
      <c r="G30" s="1">
        <v>30507.59</v>
      </c>
      <c r="H30" s="1">
        <v>40.0</v>
      </c>
      <c r="I30" s="1" t="s">
        <v>14</v>
      </c>
    </row>
    <row r="31">
      <c r="A31" s="1">
        <v>1030.0</v>
      </c>
      <c r="B31" s="2">
        <v>45314.0</v>
      </c>
      <c r="C31" s="1" t="s">
        <v>15</v>
      </c>
      <c r="D31" s="1" t="s">
        <v>16</v>
      </c>
      <c r="E31" s="1" t="s">
        <v>22</v>
      </c>
      <c r="F31" s="1">
        <v>8955.0</v>
      </c>
      <c r="G31" s="1">
        <v>6782.65</v>
      </c>
      <c r="H31" s="1">
        <v>30.0</v>
      </c>
      <c r="I31" s="1" t="s">
        <v>14</v>
      </c>
    </row>
    <row r="32">
      <c r="A32" s="1">
        <v>1031.0</v>
      </c>
      <c r="B32" s="2">
        <v>45090.0</v>
      </c>
      <c r="C32" s="1" t="s">
        <v>9</v>
      </c>
      <c r="D32" s="1" t="s">
        <v>10</v>
      </c>
      <c r="E32" s="1" t="s">
        <v>22</v>
      </c>
      <c r="F32" s="1">
        <v>34941.0</v>
      </c>
      <c r="G32" s="1">
        <v>24484.21</v>
      </c>
      <c r="H32" s="1">
        <v>15.0</v>
      </c>
      <c r="I32" s="1" t="s">
        <v>14</v>
      </c>
    </row>
    <row r="33">
      <c r="A33" s="1">
        <v>1032.0</v>
      </c>
      <c r="B33" s="2">
        <v>45364.0</v>
      </c>
      <c r="C33" s="1" t="s">
        <v>19</v>
      </c>
      <c r="D33" s="1" t="s">
        <v>10</v>
      </c>
      <c r="E33" s="1" t="s">
        <v>13</v>
      </c>
      <c r="F33" s="1">
        <v>51547.0</v>
      </c>
      <c r="G33" s="1">
        <v>41408.55</v>
      </c>
      <c r="H33" s="1">
        <v>30.0</v>
      </c>
      <c r="I33" s="1" t="s">
        <v>12</v>
      </c>
    </row>
    <row r="34">
      <c r="A34" s="1">
        <v>1033.0</v>
      </c>
      <c r="B34" s="2">
        <v>45156.0</v>
      </c>
      <c r="C34" s="1" t="s">
        <v>19</v>
      </c>
      <c r="D34" s="1" t="s">
        <v>10</v>
      </c>
      <c r="E34" s="1" t="s">
        <v>22</v>
      </c>
      <c r="F34" s="1">
        <v>38696.0</v>
      </c>
      <c r="G34" s="1">
        <v>23838.94</v>
      </c>
      <c r="H34" s="1">
        <v>15.0</v>
      </c>
      <c r="I34" s="1" t="s">
        <v>14</v>
      </c>
    </row>
    <row r="35">
      <c r="A35" s="1">
        <v>1034.0</v>
      </c>
      <c r="B35" s="2">
        <v>45516.0</v>
      </c>
      <c r="C35" s="1" t="s">
        <v>20</v>
      </c>
      <c r="D35" s="1" t="s">
        <v>10</v>
      </c>
      <c r="E35" s="1" t="s">
        <v>17</v>
      </c>
      <c r="F35" s="1">
        <v>31813.0</v>
      </c>
      <c r="G35" s="1">
        <v>26409.39</v>
      </c>
      <c r="H35" s="1">
        <v>0.0</v>
      </c>
      <c r="I35" s="1" t="s">
        <v>14</v>
      </c>
    </row>
    <row r="36">
      <c r="A36" s="1">
        <v>1035.0</v>
      </c>
      <c r="B36" s="2">
        <v>45365.0</v>
      </c>
      <c r="C36" s="1" t="s">
        <v>21</v>
      </c>
      <c r="D36" s="1" t="s">
        <v>16</v>
      </c>
      <c r="E36" s="1" t="s">
        <v>17</v>
      </c>
      <c r="F36" s="1">
        <v>77959.0</v>
      </c>
      <c r="G36" s="1">
        <v>53492.69</v>
      </c>
      <c r="H36" s="1">
        <v>0.0</v>
      </c>
      <c r="I36" s="1" t="s">
        <v>14</v>
      </c>
    </row>
    <row r="37">
      <c r="A37" s="1">
        <v>1036.0</v>
      </c>
      <c r="B37" s="2">
        <v>45267.0</v>
      </c>
      <c r="C37" s="1" t="s">
        <v>9</v>
      </c>
      <c r="D37" s="1" t="s">
        <v>10</v>
      </c>
      <c r="E37" s="1" t="s">
        <v>22</v>
      </c>
      <c r="F37" s="1">
        <v>71781.0</v>
      </c>
      <c r="G37" s="1">
        <v>54615.91</v>
      </c>
      <c r="H37" s="1">
        <v>5.0</v>
      </c>
      <c r="I37" s="1" t="s">
        <v>12</v>
      </c>
    </row>
    <row r="38">
      <c r="A38" s="1">
        <v>1037.0</v>
      </c>
      <c r="B38" s="2">
        <v>45433.0</v>
      </c>
      <c r="C38" s="1" t="s">
        <v>19</v>
      </c>
      <c r="D38" s="1" t="s">
        <v>10</v>
      </c>
      <c r="E38" s="1" t="s">
        <v>22</v>
      </c>
      <c r="F38" s="1">
        <v>43960.0</v>
      </c>
      <c r="G38" s="1">
        <v>29813.28</v>
      </c>
      <c r="H38" s="1">
        <v>10.0</v>
      </c>
      <c r="I38" s="1" t="s">
        <v>12</v>
      </c>
    </row>
    <row r="39">
      <c r="A39" s="1">
        <v>1038.0</v>
      </c>
      <c r="B39" s="2">
        <v>45561.0</v>
      </c>
      <c r="C39" s="1" t="s">
        <v>21</v>
      </c>
      <c r="D39" s="1" t="s">
        <v>16</v>
      </c>
      <c r="E39" s="1" t="s">
        <v>17</v>
      </c>
      <c r="F39" s="1">
        <v>23172.0</v>
      </c>
      <c r="G39" s="1">
        <v>17074.49</v>
      </c>
      <c r="H39" s="1">
        <v>15.0</v>
      </c>
      <c r="I39" s="1" t="s">
        <v>12</v>
      </c>
    </row>
    <row r="40">
      <c r="A40" s="1">
        <v>1039.0</v>
      </c>
      <c r="B40" s="2">
        <v>45104.0</v>
      </c>
      <c r="C40" s="1" t="s">
        <v>19</v>
      </c>
      <c r="D40" s="1" t="s">
        <v>10</v>
      </c>
      <c r="E40" s="1" t="s">
        <v>22</v>
      </c>
      <c r="F40" s="1">
        <v>23603.0</v>
      </c>
      <c r="G40" s="1">
        <v>12604.21</v>
      </c>
      <c r="H40" s="1">
        <v>30.0</v>
      </c>
      <c r="I40" s="1" t="s">
        <v>14</v>
      </c>
    </row>
    <row r="41">
      <c r="A41" s="1">
        <v>1040.0</v>
      </c>
      <c r="B41" s="2">
        <v>45096.0</v>
      </c>
      <c r="C41" s="1" t="s">
        <v>9</v>
      </c>
      <c r="D41" s="1" t="s">
        <v>10</v>
      </c>
      <c r="E41" s="1" t="s">
        <v>11</v>
      </c>
      <c r="F41" s="1">
        <v>34619.0</v>
      </c>
      <c r="G41" s="1">
        <v>24419.66</v>
      </c>
      <c r="H41" s="1">
        <v>15.0</v>
      </c>
      <c r="I41" s="1" t="s">
        <v>12</v>
      </c>
    </row>
    <row r="42">
      <c r="A42" s="1">
        <v>1041.0</v>
      </c>
      <c r="B42" s="2">
        <v>45339.0</v>
      </c>
      <c r="C42" s="1" t="s">
        <v>15</v>
      </c>
      <c r="D42" s="1" t="s">
        <v>16</v>
      </c>
      <c r="E42" s="1" t="s">
        <v>13</v>
      </c>
      <c r="F42" s="1">
        <v>29574.0</v>
      </c>
      <c r="G42" s="1">
        <v>16702.21</v>
      </c>
      <c r="H42" s="1">
        <v>30.0</v>
      </c>
      <c r="I42" s="1" t="s">
        <v>14</v>
      </c>
    </row>
    <row r="43">
      <c r="A43" s="1">
        <v>1042.0</v>
      </c>
      <c r="B43" s="2">
        <v>45509.0</v>
      </c>
      <c r="C43" s="1" t="s">
        <v>18</v>
      </c>
      <c r="D43" s="1" t="s">
        <v>16</v>
      </c>
      <c r="E43" s="1" t="s">
        <v>17</v>
      </c>
      <c r="F43" s="1">
        <v>50825.0</v>
      </c>
      <c r="G43" s="1">
        <v>38356.05</v>
      </c>
      <c r="H43" s="1">
        <v>15.0</v>
      </c>
      <c r="I43" s="1" t="s">
        <v>12</v>
      </c>
    </row>
    <row r="44">
      <c r="A44" s="1">
        <v>1043.0</v>
      </c>
      <c r="B44" s="2">
        <v>45109.0</v>
      </c>
      <c r="C44" s="1" t="s">
        <v>18</v>
      </c>
      <c r="D44" s="1" t="s">
        <v>16</v>
      </c>
      <c r="E44" s="1" t="s">
        <v>13</v>
      </c>
      <c r="F44" s="1">
        <v>29904.0</v>
      </c>
      <c r="G44" s="1">
        <v>15214.64</v>
      </c>
      <c r="H44" s="1">
        <v>0.0</v>
      </c>
      <c r="I44" s="1" t="s">
        <v>12</v>
      </c>
    </row>
    <row r="45">
      <c r="A45" s="1">
        <v>1044.0</v>
      </c>
      <c r="B45" s="2">
        <v>44942.0</v>
      </c>
      <c r="C45" s="1" t="s">
        <v>18</v>
      </c>
      <c r="D45" s="1" t="s">
        <v>16</v>
      </c>
      <c r="E45" s="1" t="s">
        <v>22</v>
      </c>
      <c r="F45" s="1">
        <v>13647.0</v>
      </c>
      <c r="G45" s="1">
        <v>11424.04</v>
      </c>
      <c r="H45" s="1">
        <v>30.0</v>
      </c>
      <c r="I45" s="1" t="s">
        <v>14</v>
      </c>
    </row>
    <row r="46">
      <c r="A46" s="1">
        <v>1045.0</v>
      </c>
      <c r="B46" s="2">
        <v>45299.0</v>
      </c>
      <c r="C46" s="1" t="s">
        <v>15</v>
      </c>
      <c r="D46" s="1" t="s">
        <v>16</v>
      </c>
      <c r="E46" s="1" t="s">
        <v>11</v>
      </c>
      <c r="F46" s="1">
        <v>21758.0</v>
      </c>
      <c r="G46" s="1">
        <v>17154.31</v>
      </c>
      <c r="H46" s="1">
        <v>5.0</v>
      </c>
      <c r="I46" s="1" t="s">
        <v>14</v>
      </c>
    </row>
    <row r="47">
      <c r="A47" s="1">
        <v>1046.0</v>
      </c>
      <c r="B47" s="2">
        <v>45280.0</v>
      </c>
      <c r="C47" s="1" t="s">
        <v>19</v>
      </c>
      <c r="D47" s="1" t="s">
        <v>10</v>
      </c>
      <c r="E47" s="1" t="s">
        <v>13</v>
      </c>
      <c r="F47" s="1">
        <v>64761.0</v>
      </c>
      <c r="G47" s="1">
        <v>57367.1</v>
      </c>
      <c r="H47" s="1">
        <v>15.0</v>
      </c>
      <c r="I47" s="1" t="s">
        <v>12</v>
      </c>
    </row>
    <row r="48">
      <c r="A48" s="1">
        <v>1047.0</v>
      </c>
      <c r="B48" s="2">
        <v>45084.0</v>
      </c>
      <c r="C48" s="1" t="s">
        <v>19</v>
      </c>
      <c r="D48" s="1" t="s">
        <v>10</v>
      </c>
      <c r="E48" s="1" t="s">
        <v>17</v>
      </c>
      <c r="F48" s="1">
        <v>8668.0</v>
      </c>
      <c r="G48" s="1">
        <v>4389.15</v>
      </c>
      <c r="H48" s="1">
        <v>40.0</v>
      </c>
      <c r="I48" s="1" t="s">
        <v>12</v>
      </c>
    </row>
    <row r="49">
      <c r="A49" s="1">
        <v>1048.0</v>
      </c>
      <c r="B49" s="2">
        <v>45034.0</v>
      </c>
      <c r="C49" s="1" t="s">
        <v>9</v>
      </c>
      <c r="D49" s="1" t="s">
        <v>10</v>
      </c>
      <c r="E49" s="1" t="s">
        <v>22</v>
      </c>
      <c r="F49" s="1">
        <v>77877.0</v>
      </c>
      <c r="G49" s="1">
        <v>56618.55</v>
      </c>
      <c r="H49" s="1">
        <v>5.0</v>
      </c>
      <c r="I49" s="1" t="s">
        <v>12</v>
      </c>
    </row>
    <row r="50">
      <c r="A50" s="1">
        <v>1049.0</v>
      </c>
      <c r="B50" s="2">
        <v>45160.0</v>
      </c>
      <c r="C50" s="1" t="s">
        <v>19</v>
      </c>
      <c r="D50" s="1" t="s">
        <v>10</v>
      </c>
      <c r="E50" s="1" t="s">
        <v>13</v>
      </c>
      <c r="F50" s="1">
        <v>22964.0</v>
      </c>
      <c r="G50" s="1">
        <v>12721.82</v>
      </c>
      <c r="H50" s="1">
        <v>30.0</v>
      </c>
      <c r="I50" s="1" t="s">
        <v>12</v>
      </c>
    </row>
    <row r="51">
      <c r="A51" s="1">
        <v>1050.0</v>
      </c>
      <c r="B51" s="2">
        <v>45150.0</v>
      </c>
      <c r="C51" s="1" t="s">
        <v>19</v>
      </c>
      <c r="D51" s="1" t="s">
        <v>10</v>
      </c>
      <c r="E51" s="1" t="s">
        <v>22</v>
      </c>
      <c r="F51" s="1">
        <v>16287.0</v>
      </c>
      <c r="G51" s="1">
        <v>9158.21</v>
      </c>
      <c r="H51" s="1">
        <v>20.0</v>
      </c>
      <c r="I51" s="1" t="s">
        <v>14</v>
      </c>
    </row>
    <row r="52">
      <c r="A52" s="1">
        <v>1051.0</v>
      </c>
      <c r="B52" s="2">
        <v>45321.0</v>
      </c>
      <c r="C52" s="1" t="s">
        <v>9</v>
      </c>
      <c r="D52" s="1" t="s">
        <v>10</v>
      </c>
      <c r="E52" s="1" t="s">
        <v>17</v>
      </c>
      <c r="F52" s="1">
        <v>16122.0</v>
      </c>
      <c r="G52" s="1">
        <v>9109.74</v>
      </c>
      <c r="H52" s="1">
        <v>5.0</v>
      </c>
      <c r="I52" s="1" t="s">
        <v>12</v>
      </c>
    </row>
    <row r="53">
      <c r="A53" s="1">
        <v>1052.0</v>
      </c>
      <c r="B53" s="2">
        <v>45035.0</v>
      </c>
      <c r="C53" s="1" t="s">
        <v>9</v>
      </c>
      <c r="D53" s="1" t="s">
        <v>10</v>
      </c>
      <c r="E53" s="1" t="s">
        <v>13</v>
      </c>
      <c r="F53" s="1">
        <v>42723.0</v>
      </c>
      <c r="G53" s="1">
        <v>25457.73</v>
      </c>
      <c r="H53" s="1">
        <v>20.0</v>
      </c>
      <c r="I53" s="1" t="s">
        <v>12</v>
      </c>
    </row>
    <row r="54">
      <c r="A54" s="1">
        <v>1053.0</v>
      </c>
      <c r="B54" s="2">
        <v>45365.0</v>
      </c>
      <c r="C54" s="1" t="s">
        <v>19</v>
      </c>
      <c r="D54" s="1" t="s">
        <v>10</v>
      </c>
      <c r="E54" s="1" t="s">
        <v>11</v>
      </c>
      <c r="F54" s="1">
        <v>18602.0</v>
      </c>
      <c r="G54" s="1">
        <v>14385.9</v>
      </c>
      <c r="H54" s="1">
        <v>20.0</v>
      </c>
      <c r="I54" s="1" t="s">
        <v>12</v>
      </c>
    </row>
    <row r="55">
      <c r="A55" s="1">
        <v>1054.0</v>
      </c>
      <c r="B55" s="2">
        <v>44986.0</v>
      </c>
      <c r="C55" s="1" t="s">
        <v>20</v>
      </c>
      <c r="D55" s="1" t="s">
        <v>10</v>
      </c>
      <c r="E55" s="1" t="s">
        <v>13</v>
      </c>
      <c r="F55" s="1">
        <v>54852.0</v>
      </c>
      <c r="G55" s="1">
        <v>43538.04</v>
      </c>
      <c r="H55" s="1">
        <v>0.0</v>
      </c>
      <c r="I55" s="1" t="s">
        <v>14</v>
      </c>
    </row>
    <row r="56">
      <c r="A56" s="1">
        <v>1055.0</v>
      </c>
      <c r="B56" s="2">
        <v>44948.0</v>
      </c>
      <c r="C56" s="1" t="s">
        <v>19</v>
      </c>
      <c r="D56" s="1" t="s">
        <v>10</v>
      </c>
      <c r="E56" s="1" t="s">
        <v>22</v>
      </c>
      <c r="F56" s="1">
        <v>50434.0</v>
      </c>
      <c r="G56" s="1">
        <v>32339.09</v>
      </c>
      <c r="H56" s="1">
        <v>30.0</v>
      </c>
      <c r="I56" s="1" t="s">
        <v>12</v>
      </c>
    </row>
    <row r="57">
      <c r="A57" s="1">
        <v>1056.0</v>
      </c>
      <c r="B57" s="2">
        <v>45236.0</v>
      </c>
      <c r="C57" s="1" t="s">
        <v>15</v>
      </c>
      <c r="D57" s="1" t="s">
        <v>16</v>
      </c>
      <c r="E57" s="1" t="s">
        <v>22</v>
      </c>
      <c r="F57" s="1">
        <v>62942.0</v>
      </c>
      <c r="H57" s="1">
        <v>20.0</v>
      </c>
      <c r="I57" s="1" t="s">
        <v>14</v>
      </c>
    </row>
    <row r="58">
      <c r="A58" s="1">
        <v>1057.0</v>
      </c>
      <c r="B58" s="2">
        <v>44990.0</v>
      </c>
      <c r="C58" s="1" t="s">
        <v>21</v>
      </c>
      <c r="D58" s="1" t="s">
        <v>16</v>
      </c>
      <c r="E58" s="1" t="s">
        <v>22</v>
      </c>
      <c r="F58" s="1">
        <v>46915.0</v>
      </c>
      <c r="G58" s="1">
        <v>31779.24</v>
      </c>
      <c r="H58" s="1">
        <v>5.0</v>
      </c>
      <c r="I58" s="1" t="s">
        <v>12</v>
      </c>
    </row>
    <row r="59">
      <c r="A59" s="1">
        <v>1058.0</v>
      </c>
      <c r="B59" s="2">
        <v>45572.0</v>
      </c>
      <c r="C59" s="1" t="s">
        <v>15</v>
      </c>
      <c r="D59" s="1" t="s">
        <v>16</v>
      </c>
      <c r="E59" s="1" t="s">
        <v>17</v>
      </c>
      <c r="F59" s="1">
        <v>70835.0</v>
      </c>
      <c r="G59" s="1">
        <v>51358.91</v>
      </c>
      <c r="H59" s="1">
        <v>0.0</v>
      </c>
      <c r="I59" s="1" t="s">
        <v>12</v>
      </c>
    </row>
    <row r="60">
      <c r="A60" s="1">
        <v>1059.0</v>
      </c>
      <c r="B60" s="2">
        <v>44980.0</v>
      </c>
      <c r="C60" s="1" t="s">
        <v>19</v>
      </c>
      <c r="D60" s="1" t="s">
        <v>10</v>
      </c>
      <c r="E60" s="1" t="s">
        <v>11</v>
      </c>
      <c r="F60" s="1">
        <v>46927.0</v>
      </c>
      <c r="G60" s="1">
        <v>40099.22</v>
      </c>
      <c r="H60" s="1">
        <v>5.0</v>
      </c>
      <c r="I60" s="1" t="s">
        <v>14</v>
      </c>
    </row>
    <row r="61">
      <c r="A61" s="1">
        <v>1060.0</v>
      </c>
      <c r="B61" s="2">
        <v>45306.0</v>
      </c>
      <c r="C61" s="1" t="s">
        <v>18</v>
      </c>
      <c r="D61" s="1" t="s">
        <v>16</v>
      </c>
      <c r="E61" s="1" t="s">
        <v>13</v>
      </c>
      <c r="F61" s="1">
        <v>20639.0</v>
      </c>
      <c r="G61" s="1">
        <v>16773.91</v>
      </c>
      <c r="H61" s="1">
        <v>20.0</v>
      </c>
      <c r="I61" s="1" t="s">
        <v>14</v>
      </c>
    </row>
    <row r="62">
      <c r="A62" s="1">
        <v>1061.0</v>
      </c>
      <c r="B62" s="2">
        <v>45241.0</v>
      </c>
      <c r="C62" s="1" t="s">
        <v>15</v>
      </c>
      <c r="D62" s="1" t="s">
        <v>16</v>
      </c>
      <c r="E62" s="1" t="s">
        <v>17</v>
      </c>
      <c r="F62" s="1">
        <v>62654.0</v>
      </c>
      <c r="G62" s="1">
        <v>54659.04</v>
      </c>
      <c r="H62" s="1">
        <v>10.0</v>
      </c>
      <c r="I62" s="1" t="s">
        <v>12</v>
      </c>
    </row>
    <row r="63">
      <c r="A63" s="1">
        <v>1062.0</v>
      </c>
      <c r="B63" s="2">
        <v>45187.0</v>
      </c>
      <c r="C63" s="1" t="s">
        <v>21</v>
      </c>
      <c r="D63" s="1" t="s">
        <v>16</v>
      </c>
      <c r="E63" s="1" t="s">
        <v>22</v>
      </c>
      <c r="F63" s="1">
        <v>65512.0</v>
      </c>
      <c r="G63" s="1">
        <v>46226.38</v>
      </c>
      <c r="H63" s="1">
        <v>20.0</v>
      </c>
      <c r="I63" s="1" t="s">
        <v>14</v>
      </c>
    </row>
    <row r="64">
      <c r="A64" s="1">
        <v>1063.0</v>
      </c>
      <c r="B64" s="2">
        <v>44991.0</v>
      </c>
      <c r="C64" s="1" t="s">
        <v>21</v>
      </c>
      <c r="D64" s="1" t="s">
        <v>16</v>
      </c>
      <c r="E64" s="1" t="s">
        <v>11</v>
      </c>
      <c r="F64" s="1">
        <v>61735.0</v>
      </c>
      <c r="G64" s="1">
        <v>44473.22</v>
      </c>
      <c r="H64" s="1">
        <v>0.0</v>
      </c>
      <c r="I64" s="1" t="s">
        <v>14</v>
      </c>
    </row>
    <row r="65">
      <c r="A65" s="1">
        <v>1064.0</v>
      </c>
      <c r="B65" s="2">
        <v>45451.0</v>
      </c>
      <c r="C65" s="1" t="s">
        <v>21</v>
      </c>
      <c r="D65" s="1" t="s">
        <v>16</v>
      </c>
      <c r="E65" s="1" t="s">
        <v>13</v>
      </c>
      <c r="F65" s="1">
        <v>51599.0</v>
      </c>
      <c r="G65" s="1">
        <v>29594.24</v>
      </c>
      <c r="H65" s="1">
        <v>0.0</v>
      </c>
      <c r="I65" s="1" t="s">
        <v>14</v>
      </c>
    </row>
    <row r="66">
      <c r="A66" s="1">
        <v>1065.0</v>
      </c>
      <c r="B66" s="2">
        <v>45579.0</v>
      </c>
      <c r="C66" s="1" t="s">
        <v>21</v>
      </c>
      <c r="D66" s="1" t="s">
        <v>16</v>
      </c>
      <c r="E66" s="1" t="s">
        <v>13</v>
      </c>
      <c r="F66" s="1">
        <v>45161.0</v>
      </c>
      <c r="G66" s="1">
        <v>25262.03</v>
      </c>
      <c r="H66" s="1">
        <v>30.0</v>
      </c>
      <c r="I66" s="1" t="s">
        <v>14</v>
      </c>
    </row>
    <row r="67">
      <c r="A67" s="1">
        <v>1066.0</v>
      </c>
      <c r="B67" s="2">
        <v>45446.0</v>
      </c>
      <c r="C67" s="1" t="s">
        <v>18</v>
      </c>
      <c r="D67" s="1" t="s">
        <v>16</v>
      </c>
      <c r="E67" s="1" t="s">
        <v>22</v>
      </c>
      <c r="G67" s="1">
        <v>28341.99</v>
      </c>
      <c r="H67" s="1">
        <v>10.0</v>
      </c>
      <c r="I67" s="1" t="s">
        <v>14</v>
      </c>
    </row>
    <row r="68">
      <c r="A68" s="1">
        <v>1067.0</v>
      </c>
      <c r="B68" s="2">
        <v>45436.0</v>
      </c>
      <c r="C68" s="1" t="s">
        <v>21</v>
      </c>
      <c r="D68" s="1" t="s">
        <v>16</v>
      </c>
      <c r="E68" s="1" t="s">
        <v>11</v>
      </c>
      <c r="F68" s="1">
        <v>7480.0</v>
      </c>
      <c r="G68" s="1">
        <v>6720.39</v>
      </c>
      <c r="H68" s="1">
        <v>20.0</v>
      </c>
      <c r="I68" s="1" t="s">
        <v>12</v>
      </c>
    </row>
    <row r="69">
      <c r="A69" s="1">
        <v>1068.0</v>
      </c>
      <c r="B69" s="2">
        <v>45561.0</v>
      </c>
      <c r="C69" s="1" t="s">
        <v>9</v>
      </c>
      <c r="D69" s="1" t="s">
        <v>10</v>
      </c>
      <c r="E69" s="1" t="s">
        <v>11</v>
      </c>
      <c r="F69" s="1">
        <v>14506.0</v>
      </c>
      <c r="G69" s="1">
        <v>10071.23</v>
      </c>
      <c r="H69" s="1">
        <v>40.0</v>
      </c>
      <c r="I69" s="1" t="s">
        <v>12</v>
      </c>
    </row>
    <row r="70">
      <c r="A70" s="1">
        <v>1069.0</v>
      </c>
      <c r="B70" s="2">
        <v>45374.0</v>
      </c>
      <c r="C70" s="1" t="s">
        <v>18</v>
      </c>
      <c r="D70" s="1" t="s">
        <v>16</v>
      </c>
      <c r="E70" s="1" t="s">
        <v>17</v>
      </c>
      <c r="F70" s="1">
        <v>44421.0</v>
      </c>
      <c r="G70" s="1">
        <v>28294.06</v>
      </c>
      <c r="H70" s="1">
        <v>15.0</v>
      </c>
      <c r="I70" s="1" t="s">
        <v>14</v>
      </c>
    </row>
    <row r="71">
      <c r="A71" s="1">
        <v>1070.0</v>
      </c>
      <c r="B71" s="2">
        <v>45441.0</v>
      </c>
      <c r="C71" s="1" t="s">
        <v>20</v>
      </c>
      <c r="D71" s="1" t="s">
        <v>10</v>
      </c>
      <c r="E71" s="1" t="s">
        <v>11</v>
      </c>
      <c r="F71" s="1">
        <v>29619.0</v>
      </c>
      <c r="G71" s="1">
        <v>19945.28</v>
      </c>
      <c r="H71" s="1">
        <v>40.0</v>
      </c>
      <c r="I71" s="1" t="s">
        <v>14</v>
      </c>
    </row>
    <row r="72">
      <c r="A72" s="1">
        <v>1071.0</v>
      </c>
      <c r="B72" s="2">
        <v>45514.0</v>
      </c>
      <c r="C72" s="1" t="s">
        <v>15</v>
      </c>
      <c r="D72" s="1" t="s">
        <v>16</v>
      </c>
      <c r="E72" s="1" t="s">
        <v>13</v>
      </c>
      <c r="F72" s="1">
        <v>10756.0</v>
      </c>
      <c r="G72" s="1">
        <v>6817.45</v>
      </c>
      <c r="H72" s="1">
        <v>10.0</v>
      </c>
      <c r="I72" s="1" t="s">
        <v>14</v>
      </c>
    </row>
    <row r="73">
      <c r="A73" s="1">
        <v>1072.0</v>
      </c>
      <c r="B73" s="2">
        <v>45032.0</v>
      </c>
      <c r="C73" s="1" t="s">
        <v>20</v>
      </c>
      <c r="D73" s="1" t="s">
        <v>10</v>
      </c>
      <c r="E73" s="1" t="s">
        <v>11</v>
      </c>
      <c r="F73" s="1">
        <v>53372.0</v>
      </c>
      <c r="G73" s="1">
        <v>27824.48</v>
      </c>
      <c r="H73" s="1">
        <v>20.0</v>
      </c>
      <c r="I73" s="1" t="s">
        <v>12</v>
      </c>
    </row>
    <row r="74">
      <c r="A74" s="1">
        <v>1073.0</v>
      </c>
      <c r="B74" s="2">
        <v>45280.0</v>
      </c>
      <c r="C74" s="1" t="s">
        <v>20</v>
      </c>
      <c r="D74" s="1" t="s">
        <v>10</v>
      </c>
      <c r="E74" s="1" t="s">
        <v>22</v>
      </c>
      <c r="F74" s="1">
        <v>55336.0</v>
      </c>
      <c r="G74" s="1">
        <v>37839.5</v>
      </c>
      <c r="H74" s="1">
        <v>15.0</v>
      </c>
      <c r="I74" s="1" t="s">
        <v>14</v>
      </c>
    </row>
    <row r="75">
      <c r="A75" s="1">
        <v>1074.0</v>
      </c>
      <c r="B75" s="2">
        <v>45491.0</v>
      </c>
      <c r="C75" s="1" t="s">
        <v>20</v>
      </c>
      <c r="D75" s="1" t="s">
        <v>10</v>
      </c>
      <c r="E75" s="1" t="s">
        <v>13</v>
      </c>
      <c r="F75" s="1">
        <v>69392.0</v>
      </c>
      <c r="G75" s="1">
        <v>48916.66</v>
      </c>
      <c r="H75" s="1">
        <v>40.0</v>
      </c>
      <c r="I75" s="1" t="s">
        <v>14</v>
      </c>
    </row>
    <row r="76">
      <c r="A76" s="1">
        <v>1075.0</v>
      </c>
      <c r="B76" s="2">
        <v>45383.0</v>
      </c>
      <c r="C76" s="1" t="s">
        <v>19</v>
      </c>
      <c r="D76" s="1" t="s">
        <v>10</v>
      </c>
      <c r="E76" s="1" t="s">
        <v>22</v>
      </c>
      <c r="F76" s="1">
        <v>52435.0</v>
      </c>
      <c r="G76" s="1">
        <v>38228.9</v>
      </c>
      <c r="H76" s="1">
        <v>10.0</v>
      </c>
      <c r="I76" s="1" t="s">
        <v>12</v>
      </c>
    </row>
    <row r="77">
      <c r="A77" s="1">
        <v>1076.0</v>
      </c>
      <c r="B77" s="2">
        <v>45064.0</v>
      </c>
      <c r="C77" s="1" t="s">
        <v>19</v>
      </c>
      <c r="D77" s="1" t="s">
        <v>10</v>
      </c>
      <c r="E77" s="1" t="s">
        <v>13</v>
      </c>
      <c r="F77" s="1">
        <v>40764.0</v>
      </c>
      <c r="G77" s="1">
        <v>32485.33</v>
      </c>
      <c r="H77" s="1">
        <v>0.0</v>
      </c>
      <c r="I77" s="1" t="s">
        <v>14</v>
      </c>
    </row>
    <row r="78">
      <c r="A78" s="1">
        <v>1077.0</v>
      </c>
      <c r="B78" s="2">
        <v>45544.0</v>
      </c>
      <c r="C78" s="1" t="s">
        <v>20</v>
      </c>
      <c r="D78" s="1" t="s">
        <v>10</v>
      </c>
      <c r="E78" s="1" t="s">
        <v>11</v>
      </c>
      <c r="F78" s="1">
        <v>19784.0</v>
      </c>
      <c r="G78" s="1">
        <v>10861.87</v>
      </c>
      <c r="H78" s="1">
        <v>40.0</v>
      </c>
      <c r="I78" s="1" t="s">
        <v>12</v>
      </c>
    </row>
    <row r="79">
      <c r="A79" s="1">
        <v>1078.0</v>
      </c>
      <c r="B79" s="2">
        <v>45467.0</v>
      </c>
      <c r="C79" s="1" t="s">
        <v>19</v>
      </c>
      <c r="D79" s="1" t="s">
        <v>10</v>
      </c>
      <c r="E79" s="1" t="s">
        <v>11</v>
      </c>
      <c r="F79" s="1">
        <v>70661.0</v>
      </c>
      <c r="G79" s="1">
        <v>61087.41</v>
      </c>
      <c r="H79" s="1">
        <v>5.0</v>
      </c>
      <c r="I79" s="1" t="s">
        <v>14</v>
      </c>
    </row>
    <row r="80">
      <c r="A80" s="1">
        <v>1079.0</v>
      </c>
      <c r="B80" s="2">
        <v>45252.0</v>
      </c>
      <c r="C80" s="1" t="s">
        <v>15</v>
      </c>
      <c r="D80" s="1" t="s">
        <v>16</v>
      </c>
      <c r="E80" s="1" t="s">
        <v>17</v>
      </c>
      <c r="F80" s="1">
        <v>75137.0</v>
      </c>
      <c r="G80" s="1">
        <v>67611.05</v>
      </c>
      <c r="H80" s="1">
        <v>10.0</v>
      </c>
      <c r="I80" s="1" t="s">
        <v>14</v>
      </c>
    </row>
    <row r="81">
      <c r="A81" s="1">
        <v>1080.0</v>
      </c>
      <c r="B81" s="2">
        <v>45273.0</v>
      </c>
      <c r="C81" s="1" t="s">
        <v>18</v>
      </c>
      <c r="D81" s="1" t="s">
        <v>16</v>
      </c>
      <c r="E81" s="1" t="s">
        <v>22</v>
      </c>
      <c r="F81" s="1">
        <v>14881.0</v>
      </c>
      <c r="G81" s="1">
        <v>11003.29</v>
      </c>
      <c r="H81" s="1">
        <v>40.0</v>
      </c>
      <c r="I81" s="1" t="s">
        <v>12</v>
      </c>
    </row>
    <row r="82">
      <c r="A82" s="1">
        <v>1081.0</v>
      </c>
      <c r="B82" s="2">
        <v>45592.0</v>
      </c>
      <c r="C82" s="1" t="s">
        <v>18</v>
      </c>
      <c r="D82" s="1" t="s">
        <v>16</v>
      </c>
      <c r="E82" s="1" t="s">
        <v>22</v>
      </c>
      <c r="F82" s="1">
        <v>10589.0</v>
      </c>
      <c r="G82" s="1">
        <v>7450.7</v>
      </c>
      <c r="H82" s="1">
        <v>10.0</v>
      </c>
      <c r="I82" s="1" t="s">
        <v>14</v>
      </c>
    </row>
    <row r="83">
      <c r="A83" s="1">
        <v>1082.0</v>
      </c>
      <c r="B83" s="2">
        <v>45398.0</v>
      </c>
      <c r="C83" s="1" t="s">
        <v>21</v>
      </c>
      <c r="D83" s="1" t="s">
        <v>16</v>
      </c>
      <c r="E83" s="1" t="s">
        <v>22</v>
      </c>
      <c r="F83" s="1">
        <v>43198.0</v>
      </c>
      <c r="G83" s="1">
        <v>23158.03</v>
      </c>
      <c r="H83" s="1">
        <v>15.0</v>
      </c>
      <c r="I83" s="1" t="s">
        <v>12</v>
      </c>
    </row>
    <row r="84">
      <c r="A84" s="1">
        <v>1083.0</v>
      </c>
      <c r="B84" s="2">
        <v>45059.0</v>
      </c>
      <c r="C84" s="1" t="s">
        <v>15</v>
      </c>
      <c r="D84" s="1" t="s">
        <v>16</v>
      </c>
      <c r="E84" s="1" t="s">
        <v>22</v>
      </c>
      <c r="F84" s="1">
        <v>22671.0</v>
      </c>
      <c r="G84" s="1">
        <v>14429.29</v>
      </c>
      <c r="H84" s="1">
        <v>0.0</v>
      </c>
      <c r="I84" s="1" t="s">
        <v>12</v>
      </c>
    </row>
    <row r="85">
      <c r="A85" s="1">
        <v>1084.0</v>
      </c>
      <c r="B85" s="2">
        <v>45392.0</v>
      </c>
      <c r="C85" s="1" t="s">
        <v>21</v>
      </c>
      <c r="D85" s="1" t="s">
        <v>16</v>
      </c>
      <c r="E85" s="1" t="s">
        <v>11</v>
      </c>
      <c r="F85" s="1">
        <v>30613.0</v>
      </c>
      <c r="G85" s="1">
        <v>18636.14</v>
      </c>
      <c r="H85" s="1">
        <v>5.0</v>
      </c>
      <c r="I85" s="1" t="s">
        <v>12</v>
      </c>
    </row>
    <row r="86">
      <c r="A86" s="1">
        <v>1085.0</v>
      </c>
      <c r="B86" s="2">
        <v>45605.0</v>
      </c>
      <c r="C86" s="1" t="s">
        <v>9</v>
      </c>
      <c r="D86" s="1" t="s">
        <v>10</v>
      </c>
      <c r="E86" s="1" t="s">
        <v>22</v>
      </c>
      <c r="F86" s="1">
        <v>33899.0</v>
      </c>
      <c r="G86" s="1">
        <v>19378.97</v>
      </c>
      <c r="H86" s="1">
        <v>10.0</v>
      </c>
      <c r="I86" s="1" t="s">
        <v>14</v>
      </c>
    </row>
    <row r="87">
      <c r="A87" s="1">
        <v>1086.0</v>
      </c>
      <c r="B87" s="2">
        <v>45036.0</v>
      </c>
      <c r="C87" s="1" t="s">
        <v>15</v>
      </c>
      <c r="D87" s="1" t="s">
        <v>16</v>
      </c>
      <c r="E87" s="1" t="s">
        <v>11</v>
      </c>
      <c r="F87" s="1">
        <v>15001.0</v>
      </c>
      <c r="G87" s="1">
        <v>10587.6</v>
      </c>
      <c r="H87" s="1">
        <v>15.0</v>
      </c>
      <c r="I87" s="1" t="s">
        <v>14</v>
      </c>
    </row>
    <row r="88">
      <c r="A88" s="1">
        <v>1087.0</v>
      </c>
      <c r="B88" s="2">
        <v>45544.0</v>
      </c>
      <c r="C88" s="1" t="s">
        <v>21</v>
      </c>
      <c r="D88" s="1" t="s">
        <v>16</v>
      </c>
      <c r="E88" s="1" t="s">
        <v>17</v>
      </c>
      <c r="F88" s="1">
        <v>17655.0</v>
      </c>
      <c r="G88" s="1">
        <v>9211.31</v>
      </c>
      <c r="H88" s="1">
        <v>5.0</v>
      </c>
      <c r="I88" s="1" t="s">
        <v>14</v>
      </c>
    </row>
    <row r="89">
      <c r="A89" s="1">
        <v>1088.0</v>
      </c>
      <c r="B89" s="2">
        <v>45540.0</v>
      </c>
      <c r="C89" s="1" t="s">
        <v>15</v>
      </c>
      <c r="D89" s="1" t="s">
        <v>16</v>
      </c>
      <c r="E89" s="1" t="s">
        <v>22</v>
      </c>
      <c r="F89" s="1">
        <v>12346.0</v>
      </c>
      <c r="G89" s="1">
        <v>10104.37</v>
      </c>
      <c r="H89" s="1">
        <v>10.0</v>
      </c>
      <c r="I89" s="1" t="s">
        <v>14</v>
      </c>
    </row>
    <row r="90">
      <c r="A90" s="1">
        <v>1089.0</v>
      </c>
      <c r="B90" s="2">
        <v>45081.0</v>
      </c>
      <c r="C90" s="1" t="s">
        <v>19</v>
      </c>
      <c r="D90" s="1" t="s">
        <v>10</v>
      </c>
      <c r="E90" s="1" t="s">
        <v>22</v>
      </c>
      <c r="F90" s="1">
        <v>58969.0</v>
      </c>
      <c r="G90" s="1">
        <v>41923.95</v>
      </c>
      <c r="H90" s="1">
        <v>0.0</v>
      </c>
      <c r="I90" s="1" t="s">
        <v>14</v>
      </c>
    </row>
    <row r="91">
      <c r="A91" s="1">
        <v>1090.0</v>
      </c>
      <c r="B91" s="2">
        <v>45242.0</v>
      </c>
      <c r="C91" s="1" t="s">
        <v>21</v>
      </c>
      <c r="D91" s="1" t="s">
        <v>16</v>
      </c>
      <c r="E91" s="1" t="s">
        <v>11</v>
      </c>
      <c r="F91" s="1">
        <v>75839.0</v>
      </c>
      <c r="G91" s="1">
        <v>60073.98</v>
      </c>
      <c r="H91" s="1">
        <v>0.0</v>
      </c>
      <c r="I91" s="1" t="s">
        <v>14</v>
      </c>
    </row>
    <row r="92">
      <c r="A92" s="1">
        <v>1091.0</v>
      </c>
      <c r="B92" s="2">
        <v>45329.0</v>
      </c>
      <c r="C92" s="1" t="s">
        <v>19</v>
      </c>
      <c r="D92" s="1" t="s">
        <v>10</v>
      </c>
      <c r="E92" s="1" t="s">
        <v>11</v>
      </c>
      <c r="F92" s="1">
        <v>76522.0</v>
      </c>
      <c r="G92" s="1">
        <v>67414.57</v>
      </c>
      <c r="H92" s="1">
        <v>30.0</v>
      </c>
      <c r="I92" s="1" t="s">
        <v>14</v>
      </c>
    </row>
    <row r="93">
      <c r="A93" s="1">
        <v>1092.0</v>
      </c>
      <c r="B93" s="2">
        <v>45207.0</v>
      </c>
      <c r="C93" s="1" t="s">
        <v>9</v>
      </c>
      <c r="D93" s="1" t="s">
        <v>10</v>
      </c>
      <c r="E93" s="1" t="s">
        <v>17</v>
      </c>
      <c r="F93" s="1">
        <v>31826.0</v>
      </c>
      <c r="G93" s="1">
        <v>21786.98</v>
      </c>
      <c r="H93" s="1">
        <v>40.0</v>
      </c>
      <c r="I93" s="1" t="s">
        <v>14</v>
      </c>
    </row>
    <row r="94">
      <c r="A94" s="1">
        <v>1093.0</v>
      </c>
      <c r="B94" s="2">
        <v>45094.0</v>
      </c>
      <c r="C94" s="1" t="s">
        <v>18</v>
      </c>
      <c r="D94" s="1" t="s">
        <v>16</v>
      </c>
      <c r="E94" s="1" t="s">
        <v>17</v>
      </c>
      <c r="F94" s="1">
        <v>53138.0</v>
      </c>
      <c r="G94" s="1">
        <v>36420.73</v>
      </c>
      <c r="H94" s="1">
        <v>30.0</v>
      </c>
      <c r="I94" s="1" t="s">
        <v>14</v>
      </c>
    </row>
    <row r="95">
      <c r="A95" s="1">
        <v>1094.0</v>
      </c>
      <c r="B95" s="2">
        <v>45489.0</v>
      </c>
      <c r="C95" s="1" t="s">
        <v>21</v>
      </c>
      <c r="D95" s="1" t="s">
        <v>16</v>
      </c>
      <c r="E95" s="1" t="s">
        <v>13</v>
      </c>
      <c r="F95" s="1">
        <v>70127.0</v>
      </c>
      <c r="G95" s="1">
        <v>39262.64</v>
      </c>
      <c r="H95" s="1">
        <v>30.0</v>
      </c>
      <c r="I95" s="1" t="s">
        <v>14</v>
      </c>
    </row>
    <row r="96">
      <c r="A96" s="1">
        <v>1095.0</v>
      </c>
      <c r="B96" s="2">
        <v>45619.0</v>
      </c>
      <c r="C96" s="1" t="s">
        <v>18</v>
      </c>
      <c r="D96" s="1" t="s">
        <v>16</v>
      </c>
      <c r="E96" s="1" t="s">
        <v>13</v>
      </c>
      <c r="F96" s="1">
        <v>53412.0</v>
      </c>
      <c r="G96" s="1">
        <v>47096.99</v>
      </c>
      <c r="H96" s="1">
        <v>10.0</v>
      </c>
      <c r="I96" s="1" t="s">
        <v>12</v>
      </c>
    </row>
    <row r="97">
      <c r="A97" s="1">
        <v>1096.0</v>
      </c>
      <c r="B97" s="2">
        <v>45307.0</v>
      </c>
      <c r="C97" s="1" t="s">
        <v>20</v>
      </c>
      <c r="D97" s="1" t="s">
        <v>10</v>
      </c>
      <c r="E97" s="1" t="s">
        <v>17</v>
      </c>
      <c r="F97" s="1">
        <v>22441.0</v>
      </c>
      <c r="G97" s="1">
        <v>18498.35</v>
      </c>
      <c r="H97" s="1">
        <v>0.0</v>
      </c>
      <c r="I97" s="1" t="s">
        <v>12</v>
      </c>
    </row>
    <row r="98">
      <c r="A98" s="1">
        <v>1097.0</v>
      </c>
      <c r="B98" s="2">
        <v>45329.0</v>
      </c>
      <c r="C98" s="1" t="s">
        <v>18</v>
      </c>
      <c r="D98" s="1" t="s">
        <v>16</v>
      </c>
      <c r="E98" s="1" t="s">
        <v>13</v>
      </c>
      <c r="F98" s="1">
        <v>71658.0</v>
      </c>
      <c r="G98" s="1">
        <v>51504.78</v>
      </c>
      <c r="H98" s="1">
        <v>15.0</v>
      </c>
      <c r="I98" s="1" t="s">
        <v>14</v>
      </c>
    </row>
    <row r="99">
      <c r="A99" s="1">
        <v>1098.0</v>
      </c>
      <c r="B99" s="2">
        <v>44981.0</v>
      </c>
      <c r="C99" s="1" t="s">
        <v>15</v>
      </c>
      <c r="D99" s="1" t="s">
        <v>16</v>
      </c>
      <c r="E99" s="1" t="s">
        <v>11</v>
      </c>
      <c r="F99" s="1">
        <v>13755.0</v>
      </c>
      <c r="G99" s="1">
        <v>7698.3</v>
      </c>
      <c r="H99" s="1">
        <v>0.0</v>
      </c>
      <c r="I99" s="1" t="s">
        <v>12</v>
      </c>
    </row>
    <row r="100">
      <c r="A100" s="1">
        <v>1099.0</v>
      </c>
      <c r="B100" s="2">
        <v>45520.0</v>
      </c>
      <c r="C100" s="1" t="s">
        <v>15</v>
      </c>
      <c r="D100" s="1" t="s">
        <v>16</v>
      </c>
      <c r="E100" s="1" t="s">
        <v>22</v>
      </c>
      <c r="F100" s="1">
        <v>19136.0</v>
      </c>
      <c r="G100" s="1">
        <v>12728.54</v>
      </c>
      <c r="H100" s="1">
        <v>5.0</v>
      </c>
      <c r="I100" s="1" t="s">
        <v>12</v>
      </c>
    </row>
    <row r="101">
      <c r="A101" s="1">
        <v>1100.0</v>
      </c>
      <c r="B101" s="2">
        <v>45180.0</v>
      </c>
      <c r="C101" s="1" t="s">
        <v>21</v>
      </c>
      <c r="D101" s="1" t="s">
        <v>16</v>
      </c>
      <c r="E101" s="1" t="s">
        <v>11</v>
      </c>
      <c r="F101" s="1">
        <v>29519.0</v>
      </c>
      <c r="G101" s="1">
        <v>16597.48</v>
      </c>
      <c r="H101" s="1">
        <v>30.0</v>
      </c>
      <c r="I101" s="1" t="s">
        <v>12</v>
      </c>
    </row>
    <row r="102">
      <c r="A102" s="1">
        <v>1101.0</v>
      </c>
      <c r="B102" s="2">
        <v>45172.0</v>
      </c>
      <c r="C102" s="1" t="s">
        <v>9</v>
      </c>
      <c r="D102" s="1" t="s">
        <v>10</v>
      </c>
      <c r="E102" s="1" t="s">
        <v>22</v>
      </c>
      <c r="F102" s="1">
        <v>20215.0</v>
      </c>
      <c r="G102" s="1">
        <v>13483.06</v>
      </c>
      <c r="H102" s="1">
        <v>0.0</v>
      </c>
      <c r="I102" s="1" t="s">
        <v>14</v>
      </c>
    </row>
    <row r="103">
      <c r="A103" s="1">
        <v>1102.0</v>
      </c>
      <c r="B103" s="2">
        <v>45359.0</v>
      </c>
      <c r="C103" s="1" t="s">
        <v>9</v>
      </c>
      <c r="D103" s="1" t="s">
        <v>10</v>
      </c>
      <c r="E103" s="1" t="s">
        <v>13</v>
      </c>
      <c r="G103" s="1">
        <v>30533.15</v>
      </c>
      <c r="H103" s="1">
        <v>15.0</v>
      </c>
      <c r="I103" s="1" t="s">
        <v>12</v>
      </c>
    </row>
    <row r="104">
      <c r="A104" s="1">
        <v>1103.0</v>
      </c>
      <c r="B104" s="2">
        <v>45393.0</v>
      </c>
      <c r="C104" s="1" t="s">
        <v>9</v>
      </c>
      <c r="D104" s="1" t="s">
        <v>10</v>
      </c>
      <c r="E104" s="1" t="s">
        <v>11</v>
      </c>
      <c r="F104" s="1">
        <v>47019.0</v>
      </c>
      <c r="G104" s="1">
        <v>41648.42</v>
      </c>
      <c r="H104" s="1">
        <v>40.0</v>
      </c>
      <c r="I104" s="1" t="s">
        <v>12</v>
      </c>
    </row>
    <row r="105">
      <c r="A105" s="1">
        <v>1104.0</v>
      </c>
      <c r="B105" s="2">
        <v>45523.0</v>
      </c>
      <c r="C105" s="1" t="s">
        <v>20</v>
      </c>
      <c r="D105" s="1" t="s">
        <v>10</v>
      </c>
      <c r="E105" s="1" t="s">
        <v>17</v>
      </c>
      <c r="F105" s="1">
        <v>30851.0</v>
      </c>
      <c r="G105" s="1">
        <v>18277.3</v>
      </c>
      <c r="I105" s="1" t="s">
        <v>12</v>
      </c>
    </row>
    <row r="106">
      <c r="A106" s="1">
        <v>1105.0</v>
      </c>
      <c r="B106" s="2">
        <v>45456.0</v>
      </c>
      <c r="C106" s="1" t="s">
        <v>18</v>
      </c>
      <c r="D106" s="1" t="s">
        <v>16</v>
      </c>
      <c r="E106" s="1" t="s">
        <v>13</v>
      </c>
      <c r="F106" s="1">
        <v>47132.0</v>
      </c>
      <c r="G106" s="1">
        <v>23963.95</v>
      </c>
      <c r="H106" s="1">
        <v>5.0</v>
      </c>
      <c r="I106" s="1" t="s">
        <v>12</v>
      </c>
    </row>
    <row r="107">
      <c r="A107" s="1">
        <v>1106.0</v>
      </c>
      <c r="B107" s="2">
        <v>45183.0</v>
      </c>
      <c r="C107" s="1" t="s">
        <v>20</v>
      </c>
      <c r="D107" s="1" t="s">
        <v>10</v>
      </c>
      <c r="E107" s="1" t="s">
        <v>17</v>
      </c>
      <c r="F107" s="1">
        <v>45922.0</v>
      </c>
      <c r="G107" s="1">
        <v>39474.43</v>
      </c>
      <c r="H107" s="1">
        <v>10.0</v>
      </c>
      <c r="I107" s="1" t="s">
        <v>12</v>
      </c>
    </row>
    <row r="108">
      <c r="A108" s="1">
        <v>1107.0</v>
      </c>
      <c r="B108" s="2">
        <v>45261.0</v>
      </c>
      <c r="C108" s="1" t="s">
        <v>18</v>
      </c>
      <c r="D108" s="1" t="s">
        <v>16</v>
      </c>
      <c r="E108" s="1" t="s">
        <v>11</v>
      </c>
      <c r="F108" s="1">
        <v>72104.0</v>
      </c>
      <c r="G108" s="1">
        <v>53593.53</v>
      </c>
      <c r="H108" s="1">
        <v>20.0</v>
      </c>
      <c r="I108" s="1" t="s">
        <v>14</v>
      </c>
    </row>
    <row r="109">
      <c r="A109" s="1">
        <v>1108.0</v>
      </c>
      <c r="B109" s="2">
        <v>45297.0</v>
      </c>
      <c r="C109" s="1" t="s">
        <v>9</v>
      </c>
      <c r="D109" s="1" t="s">
        <v>10</v>
      </c>
      <c r="E109" s="1" t="s">
        <v>13</v>
      </c>
      <c r="F109" s="1">
        <v>75577.0</v>
      </c>
      <c r="G109" s="1">
        <v>39222.91</v>
      </c>
      <c r="H109" s="1">
        <v>30.0</v>
      </c>
      <c r="I109" s="1" t="s">
        <v>12</v>
      </c>
    </row>
    <row r="110">
      <c r="A110" s="1">
        <v>1109.0</v>
      </c>
      <c r="B110" s="2">
        <v>45451.0</v>
      </c>
      <c r="C110" s="1" t="s">
        <v>15</v>
      </c>
      <c r="D110" s="1" t="s">
        <v>16</v>
      </c>
      <c r="E110" s="1" t="s">
        <v>11</v>
      </c>
      <c r="F110" s="1">
        <v>31236.0</v>
      </c>
      <c r="G110" s="1">
        <v>27371.68</v>
      </c>
      <c r="H110" s="1">
        <v>15.0</v>
      </c>
      <c r="I110" s="1" t="s">
        <v>12</v>
      </c>
    </row>
    <row r="111">
      <c r="A111" s="1">
        <v>1110.0</v>
      </c>
      <c r="B111" s="2">
        <v>45297.0</v>
      </c>
      <c r="C111" s="1" t="s">
        <v>18</v>
      </c>
      <c r="D111" s="1" t="s">
        <v>16</v>
      </c>
      <c r="E111" s="1" t="s">
        <v>13</v>
      </c>
      <c r="F111" s="1">
        <v>35906.0</v>
      </c>
      <c r="G111" s="1">
        <v>31439.4</v>
      </c>
      <c r="H111" s="1">
        <v>5.0</v>
      </c>
      <c r="I111" s="1" t="s">
        <v>12</v>
      </c>
    </row>
    <row r="112">
      <c r="A112" s="1">
        <v>1111.0</v>
      </c>
      <c r="B112" s="2">
        <v>45087.0</v>
      </c>
      <c r="C112" s="1" t="s">
        <v>18</v>
      </c>
      <c r="D112" s="1" t="s">
        <v>16</v>
      </c>
      <c r="E112" s="1" t="s">
        <v>13</v>
      </c>
      <c r="F112" s="1">
        <v>71229.0</v>
      </c>
      <c r="G112" s="1">
        <v>46384.24</v>
      </c>
      <c r="H112" s="1">
        <v>15.0</v>
      </c>
      <c r="I112" s="1" t="s">
        <v>14</v>
      </c>
    </row>
    <row r="113">
      <c r="A113" s="1">
        <v>1112.0</v>
      </c>
      <c r="B113" s="2">
        <v>45209.0</v>
      </c>
      <c r="C113" s="1" t="s">
        <v>18</v>
      </c>
      <c r="D113" s="1" t="s">
        <v>16</v>
      </c>
      <c r="E113" s="1" t="s">
        <v>22</v>
      </c>
      <c r="G113" s="1">
        <v>13205.66</v>
      </c>
      <c r="H113" s="1">
        <v>10.0</v>
      </c>
      <c r="I113" s="1" t="s">
        <v>12</v>
      </c>
    </row>
    <row r="114">
      <c r="A114" s="1">
        <v>1113.0</v>
      </c>
      <c r="B114" s="2">
        <v>45440.0</v>
      </c>
      <c r="C114" s="1" t="s">
        <v>15</v>
      </c>
      <c r="D114" s="1" t="s">
        <v>16</v>
      </c>
      <c r="E114" s="1" t="s">
        <v>11</v>
      </c>
      <c r="F114" s="1">
        <v>37613.0</v>
      </c>
      <c r="G114" s="1">
        <v>28619.63</v>
      </c>
      <c r="H114" s="1">
        <v>5.0</v>
      </c>
      <c r="I114" s="1" t="s">
        <v>14</v>
      </c>
    </row>
    <row r="115">
      <c r="A115" s="1">
        <v>1114.0</v>
      </c>
      <c r="B115" s="2">
        <v>45608.0</v>
      </c>
      <c r="C115" s="1" t="s">
        <v>18</v>
      </c>
      <c r="D115" s="1" t="s">
        <v>16</v>
      </c>
      <c r="E115" s="1" t="s">
        <v>13</v>
      </c>
      <c r="F115" s="1">
        <v>51534.0</v>
      </c>
      <c r="G115" s="1">
        <v>30077.65</v>
      </c>
      <c r="H115" s="1">
        <v>40.0</v>
      </c>
      <c r="I115" s="1" t="s">
        <v>12</v>
      </c>
    </row>
    <row r="116">
      <c r="A116" s="1">
        <v>1115.0</v>
      </c>
      <c r="B116" s="2">
        <v>45221.0</v>
      </c>
      <c r="C116" s="1" t="s">
        <v>19</v>
      </c>
      <c r="D116" s="1" t="s">
        <v>10</v>
      </c>
      <c r="E116" s="1" t="s">
        <v>11</v>
      </c>
      <c r="F116" s="1">
        <v>55408.0</v>
      </c>
      <c r="G116" s="1">
        <v>43303.68</v>
      </c>
      <c r="H116" s="1">
        <v>15.0</v>
      </c>
      <c r="I116" s="1" t="s">
        <v>12</v>
      </c>
    </row>
    <row r="117">
      <c r="A117" s="1">
        <v>1116.0</v>
      </c>
      <c r="B117" s="2">
        <v>45478.0</v>
      </c>
      <c r="C117" s="1" t="s">
        <v>15</v>
      </c>
      <c r="D117" s="1" t="s">
        <v>16</v>
      </c>
      <c r="E117" s="1" t="s">
        <v>13</v>
      </c>
      <c r="F117" s="1">
        <v>52485.0</v>
      </c>
      <c r="G117" s="1">
        <v>32751.66</v>
      </c>
      <c r="H117" s="1">
        <v>40.0</v>
      </c>
      <c r="I117" s="1" t="s">
        <v>14</v>
      </c>
    </row>
    <row r="118">
      <c r="A118" s="1">
        <v>1117.0</v>
      </c>
      <c r="B118" s="2">
        <v>45188.0</v>
      </c>
      <c r="C118" s="1" t="s">
        <v>15</v>
      </c>
      <c r="D118" s="1" t="s">
        <v>16</v>
      </c>
      <c r="E118" s="1" t="s">
        <v>22</v>
      </c>
      <c r="F118" s="1">
        <v>58891.0</v>
      </c>
      <c r="G118" s="1">
        <v>38557.46</v>
      </c>
      <c r="H118" s="1">
        <v>5.0</v>
      </c>
      <c r="I118" s="1" t="s">
        <v>14</v>
      </c>
    </row>
    <row r="119">
      <c r="A119" s="1">
        <v>1118.0</v>
      </c>
      <c r="B119" s="2">
        <v>45346.0</v>
      </c>
      <c r="C119" s="1" t="s">
        <v>21</v>
      </c>
      <c r="D119" s="1" t="s">
        <v>16</v>
      </c>
      <c r="E119" s="1" t="s">
        <v>22</v>
      </c>
      <c r="F119" s="1">
        <v>69005.0</v>
      </c>
      <c r="G119" s="1">
        <v>43564.79</v>
      </c>
      <c r="H119" s="1">
        <v>40.0</v>
      </c>
      <c r="I119" s="1" t="s">
        <v>12</v>
      </c>
    </row>
    <row r="120">
      <c r="A120" s="1">
        <v>1119.0</v>
      </c>
      <c r="B120" s="2">
        <v>45314.0</v>
      </c>
      <c r="C120" s="1" t="s">
        <v>15</v>
      </c>
      <c r="D120" s="1" t="s">
        <v>16</v>
      </c>
      <c r="E120" s="1" t="s">
        <v>11</v>
      </c>
      <c r="F120" s="1">
        <v>47819.0</v>
      </c>
      <c r="G120" s="1">
        <v>39854.42</v>
      </c>
      <c r="H120" s="1">
        <v>0.0</v>
      </c>
      <c r="I120" s="1" t="s">
        <v>14</v>
      </c>
    </row>
    <row r="121">
      <c r="A121" s="1">
        <v>1120.0</v>
      </c>
      <c r="B121" s="2">
        <v>44931.0</v>
      </c>
      <c r="C121" s="1" t="s">
        <v>9</v>
      </c>
      <c r="D121" s="1" t="s">
        <v>10</v>
      </c>
      <c r="E121" s="1" t="s">
        <v>13</v>
      </c>
      <c r="F121" s="1">
        <v>46147.0</v>
      </c>
      <c r="G121" s="1">
        <v>23360.68</v>
      </c>
      <c r="H121" s="1">
        <v>30.0</v>
      </c>
      <c r="I121" s="1" t="s">
        <v>14</v>
      </c>
    </row>
    <row r="122">
      <c r="A122" s="1">
        <v>1121.0</v>
      </c>
      <c r="B122" s="2">
        <v>45219.0</v>
      </c>
      <c r="C122" s="1" t="s">
        <v>20</v>
      </c>
      <c r="D122" s="1" t="s">
        <v>10</v>
      </c>
      <c r="E122" s="1" t="s">
        <v>11</v>
      </c>
      <c r="F122" s="1">
        <v>37889.0</v>
      </c>
      <c r="G122" s="1">
        <v>27064.82</v>
      </c>
      <c r="H122" s="1">
        <v>15.0</v>
      </c>
      <c r="I122" s="1" t="s">
        <v>12</v>
      </c>
    </row>
    <row r="123">
      <c r="A123" s="1">
        <v>1122.0</v>
      </c>
      <c r="B123" s="2">
        <v>45475.0</v>
      </c>
      <c r="C123" s="1" t="s">
        <v>20</v>
      </c>
      <c r="D123" s="1" t="s">
        <v>10</v>
      </c>
      <c r="E123" s="1" t="s">
        <v>22</v>
      </c>
      <c r="F123" s="1">
        <v>55966.0</v>
      </c>
      <c r="G123" s="1">
        <v>47692.28</v>
      </c>
      <c r="H123" s="1">
        <v>10.0</v>
      </c>
      <c r="I123" s="1" t="s">
        <v>14</v>
      </c>
    </row>
    <row r="124">
      <c r="A124" s="1">
        <v>1123.0</v>
      </c>
      <c r="B124" s="2">
        <v>45072.0</v>
      </c>
      <c r="C124" s="1" t="s">
        <v>20</v>
      </c>
      <c r="D124" s="1" t="s">
        <v>10</v>
      </c>
      <c r="E124" s="1" t="s">
        <v>22</v>
      </c>
      <c r="F124" s="1">
        <v>8453.0</v>
      </c>
      <c r="G124" s="1">
        <v>5366.45</v>
      </c>
      <c r="H124" s="1">
        <v>40.0</v>
      </c>
      <c r="I124" s="1" t="s">
        <v>14</v>
      </c>
    </row>
    <row r="125">
      <c r="A125" s="1">
        <v>1124.0</v>
      </c>
      <c r="B125" s="2">
        <v>45363.0</v>
      </c>
      <c r="C125" s="1" t="s">
        <v>15</v>
      </c>
      <c r="D125" s="1" t="s">
        <v>16</v>
      </c>
      <c r="E125" s="1" t="s">
        <v>13</v>
      </c>
      <c r="F125" s="1">
        <v>78667.0</v>
      </c>
      <c r="G125" s="1">
        <v>53868.46</v>
      </c>
      <c r="H125" s="1">
        <v>15.0</v>
      </c>
      <c r="I125" s="1" t="s">
        <v>14</v>
      </c>
    </row>
    <row r="126">
      <c r="A126" s="1">
        <v>1125.0</v>
      </c>
      <c r="B126" s="2">
        <v>45164.0</v>
      </c>
      <c r="C126" s="1" t="s">
        <v>9</v>
      </c>
      <c r="D126" s="1" t="s">
        <v>10</v>
      </c>
      <c r="E126" s="1" t="s">
        <v>11</v>
      </c>
      <c r="F126" s="1">
        <v>46741.0</v>
      </c>
      <c r="G126" s="1">
        <v>26806.5</v>
      </c>
      <c r="H126" s="1">
        <v>15.0</v>
      </c>
      <c r="I126" s="1" t="s">
        <v>14</v>
      </c>
    </row>
    <row r="127">
      <c r="A127" s="1">
        <v>1126.0</v>
      </c>
      <c r="B127" s="2">
        <v>45541.0</v>
      </c>
      <c r="C127" s="1" t="s">
        <v>20</v>
      </c>
      <c r="D127" s="1" t="s">
        <v>10</v>
      </c>
      <c r="E127" s="1" t="s">
        <v>22</v>
      </c>
      <c r="F127" s="1">
        <v>71598.0</v>
      </c>
      <c r="G127" s="1">
        <v>57338.92</v>
      </c>
      <c r="H127" s="1">
        <v>0.0</v>
      </c>
      <c r="I127" s="1" t="s">
        <v>14</v>
      </c>
    </row>
    <row r="128">
      <c r="A128" s="1">
        <v>1127.0</v>
      </c>
      <c r="B128" s="2">
        <v>44981.0</v>
      </c>
      <c r="C128" s="1" t="s">
        <v>20</v>
      </c>
      <c r="D128" s="1" t="s">
        <v>10</v>
      </c>
      <c r="E128" s="1" t="s">
        <v>13</v>
      </c>
      <c r="F128" s="1">
        <v>42639.0</v>
      </c>
      <c r="G128" s="1">
        <v>32627.57</v>
      </c>
      <c r="H128" s="1">
        <v>5.0</v>
      </c>
      <c r="I128" s="1" t="s">
        <v>12</v>
      </c>
    </row>
    <row r="129">
      <c r="A129" s="1">
        <v>1128.0</v>
      </c>
      <c r="B129" s="2">
        <v>45189.0</v>
      </c>
      <c r="C129" s="1" t="s">
        <v>9</v>
      </c>
      <c r="D129" s="1" t="s">
        <v>10</v>
      </c>
      <c r="E129" s="1" t="s">
        <v>13</v>
      </c>
      <c r="F129" s="1">
        <v>70069.0</v>
      </c>
      <c r="G129" s="1">
        <v>56019.92</v>
      </c>
      <c r="H129" s="1">
        <v>10.0</v>
      </c>
      <c r="I129" s="1" t="s">
        <v>14</v>
      </c>
    </row>
    <row r="130">
      <c r="A130" s="1">
        <v>1129.0</v>
      </c>
      <c r="B130" s="2">
        <v>45416.0</v>
      </c>
      <c r="C130" s="1" t="s">
        <v>18</v>
      </c>
      <c r="D130" s="1" t="s">
        <v>16</v>
      </c>
      <c r="E130" s="1" t="s">
        <v>11</v>
      </c>
      <c r="F130" s="1">
        <v>29495.0</v>
      </c>
      <c r="G130" s="1">
        <v>20143.87</v>
      </c>
      <c r="H130" s="1">
        <v>30.0</v>
      </c>
      <c r="I130" s="1" t="s">
        <v>14</v>
      </c>
    </row>
    <row r="131">
      <c r="A131" s="1">
        <v>1130.0</v>
      </c>
      <c r="B131" s="2">
        <v>44962.0</v>
      </c>
      <c r="C131" s="1" t="s">
        <v>21</v>
      </c>
      <c r="D131" s="1" t="s">
        <v>16</v>
      </c>
      <c r="E131" s="1" t="s">
        <v>11</v>
      </c>
      <c r="F131" s="1">
        <v>50989.0</v>
      </c>
      <c r="G131" s="1">
        <v>40774.6</v>
      </c>
      <c r="I131" s="1" t="s">
        <v>14</v>
      </c>
    </row>
    <row r="132">
      <c r="A132" s="1">
        <v>1131.0</v>
      </c>
      <c r="B132" s="2">
        <v>45139.0</v>
      </c>
      <c r="C132" s="1" t="s">
        <v>15</v>
      </c>
      <c r="D132" s="1" t="s">
        <v>16</v>
      </c>
      <c r="E132" s="1" t="s">
        <v>13</v>
      </c>
      <c r="F132" s="1">
        <v>58930.0</v>
      </c>
      <c r="G132" s="1">
        <v>32669.82</v>
      </c>
      <c r="H132" s="1">
        <v>20.0</v>
      </c>
      <c r="I132" s="1" t="s">
        <v>12</v>
      </c>
    </row>
    <row r="133">
      <c r="A133" s="1">
        <v>1132.0</v>
      </c>
      <c r="B133" s="2">
        <v>45376.0</v>
      </c>
      <c r="C133" s="1" t="s">
        <v>9</v>
      </c>
      <c r="D133" s="1" t="s">
        <v>10</v>
      </c>
      <c r="E133" s="1" t="s">
        <v>13</v>
      </c>
      <c r="F133" s="1">
        <v>76284.0</v>
      </c>
      <c r="G133" s="1">
        <v>41031.71</v>
      </c>
      <c r="H133" s="1">
        <v>10.0</v>
      </c>
      <c r="I133" s="1" t="s">
        <v>14</v>
      </c>
    </row>
    <row r="134">
      <c r="A134" s="1">
        <v>1133.0</v>
      </c>
      <c r="B134" s="2">
        <v>45010.0</v>
      </c>
      <c r="C134" s="1" t="s">
        <v>18</v>
      </c>
      <c r="D134" s="1" t="s">
        <v>16</v>
      </c>
      <c r="E134" s="1" t="s">
        <v>22</v>
      </c>
      <c r="F134" s="1">
        <v>69870.0</v>
      </c>
      <c r="G134" s="1">
        <v>59366.1</v>
      </c>
      <c r="H134" s="1">
        <v>5.0</v>
      </c>
      <c r="I134" s="1" t="s">
        <v>14</v>
      </c>
    </row>
    <row r="135">
      <c r="A135" s="1">
        <v>1134.0</v>
      </c>
      <c r="B135" s="2">
        <v>45166.0</v>
      </c>
      <c r="C135" s="1" t="s">
        <v>20</v>
      </c>
      <c r="D135" s="1" t="s">
        <v>10</v>
      </c>
      <c r="E135" s="1" t="s">
        <v>11</v>
      </c>
      <c r="F135" s="1">
        <v>62723.0</v>
      </c>
      <c r="G135" s="1">
        <v>49037.44</v>
      </c>
      <c r="I135" s="1" t="s">
        <v>12</v>
      </c>
    </row>
    <row r="136">
      <c r="A136" s="1">
        <v>1135.0</v>
      </c>
      <c r="B136" s="2">
        <v>45354.0</v>
      </c>
      <c r="C136" s="1" t="s">
        <v>20</v>
      </c>
      <c r="D136" s="1" t="s">
        <v>10</v>
      </c>
      <c r="E136" s="1" t="s">
        <v>11</v>
      </c>
      <c r="F136" s="1">
        <v>73713.0</v>
      </c>
      <c r="H136" s="1">
        <v>10.0</v>
      </c>
      <c r="I136" s="1" t="s">
        <v>14</v>
      </c>
    </row>
    <row r="137">
      <c r="A137" s="1">
        <v>1136.0</v>
      </c>
      <c r="B137" s="2">
        <v>45228.0</v>
      </c>
      <c r="C137" s="1" t="s">
        <v>20</v>
      </c>
      <c r="D137" s="1" t="s">
        <v>10</v>
      </c>
      <c r="E137" s="1" t="s">
        <v>22</v>
      </c>
      <c r="F137" s="1">
        <v>21874.0</v>
      </c>
      <c r="G137" s="1">
        <v>11255.55</v>
      </c>
      <c r="H137" s="1">
        <v>30.0</v>
      </c>
      <c r="I137" s="1" t="s">
        <v>14</v>
      </c>
    </row>
    <row r="138">
      <c r="A138" s="1">
        <v>1137.0</v>
      </c>
      <c r="B138" s="2">
        <v>45176.0</v>
      </c>
      <c r="C138" s="1" t="s">
        <v>19</v>
      </c>
      <c r="D138" s="1" t="s">
        <v>10</v>
      </c>
      <c r="E138" s="1" t="s">
        <v>11</v>
      </c>
      <c r="F138" s="1">
        <v>62271.0</v>
      </c>
      <c r="G138" s="1">
        <v>52849.86</v>
      </c>
      <c r="H138" s="1">
        <v>30.0</v>
      </c>
      <c r="I138" s="1" t="s">
        <v>14</v>
      </c>
    </row>
    <row r="139">
      <c r="A139" s="1">
        <v>1138.0</v>
      </c>
      <c r="B139" s="2">
        <v>45113.0</v>
      </c>
      <c r="C139" s="1" t="s">
        <v>9</v>
      </c>
      <c r="D139" s="1" t="s">
        <v>10</v>
      </c>
      <c r="E139" s="1" t="s">
        <v>13</v>
      </c>
      <c r="F139" s="1">
        <v>42682.0</v>
      </c>
      <c r="G139" s="1">
        <v>30212.23</v>
      </c>
      <c r="H139" s="1">
        <v>5.0</v>
      </c>
      <c r="I139" s="1" t="s">
        <v>14</v>
      </c>
    </row>
    <row r="140">
      <c r="A140" s="1">
        <v>1139.0</v>
      </c>
      <c r="B140" s="2">
        <v>45191.0</v>
      </c>
      <c r="C140" s="1" t="s">
        <v>21</v>
      </c>
      <c r="D140" s="1" t="s">
        <v>16</v>
      </c>
      <c r="E140" s="1" t="s">
        <v>22</v>
      </c>
      <c r="F140" s="1">
        <v>36322.0</v>
      </c>
      <c r="G140" s="1">
        <v>29222.17</v>
      </c>
      <c r="H140" s="1">
        <v>15.0</v>
      </c>
      <c r="I140" s="1" t="s">
        <v>12</v>
      </c>
    </row>
    <row r="141">
      <c r="A141" s="1">
        <v>1140.0</v>
      </c>
      <c r="B141" s="2">
        <v>45522.0</v>
      </c>
      <c r="C141" s="1" t="s">
        <v>18</v>
      </c>
      <c r="D141" s="1" t="s">
        <v>16</v>
      </c>
      <c r="E141" s="1" t="s">
        <v>17</v>
      </c>
      <c r="F141" s="1">
        <v>12299.0</v>
      </c>
      <c r="G141" s="1">
        <v>8185.14</v>
      </c>
      <c r="H141" s="1">
        <v>10.0</v>
      </c>
      <c r="I141" s="1" t="s">
        <v>14</v>
      </c>
    </row>
    <row r="142">
      <c r="A142" s="1">
        <v>1141.0</v>
      </c>
      <c r="B142" s="2">
        <v>45268.0</v>
      </c>
      <c r="C142" s="1" t="s">
        <v>21</v>
      </c>
      <c r="D142" s="1" t="s">
        <v>16</v>
      </c>
      <c r="E142" s="1" t="s">
        <v>22</v>
      </c>
      <c r="F142" s="1">
        <v>14447.0</v>
      </c>
      <c r="G142" s="1">
        <v>12597.54</v>
      </c>
      <c r="H142" s="1">
        <v>0.0</v>
      </c>
      <c r="I142" s="1" t="s">
        <v>12</v>
      </c>
    </row>
    <row r="143">
      <c r="A143" s="1">
        <v>1142.0</v>
      </c>
      <c r="B143" s="2">
        <v>44988.0</v>
      </c>
      <c r="C143" s="1" t="s">
        <v>19</v>
      </c>
      <c r="D143" s="1" t="s">
        <v>10</v>
      </c>
      <c r="E143" s="1" t="s">
        <v>13</v>
      </c>
      <c r="F143" s="1">
        <v>18347.0</v>
      </c>
      <c r="G143" s="1">
        <v>13969.1</v>
      </c>
      <c r="H143" s="1">
        <v>15.0</v>
      </c>
      <c r="I143" s="1" t="s">
        <v>12</v>
      </c>
    </row>
    <row r="144">
      <c r="A144" s="1">
        <v>1143.0</v>
      </c>
      <c r="B144" s="2">
        <v>45207.0</v>
      </c>
      <c r="C144" s="1" t="s">
        <v>18</v>
      </c>
      <c r="D144" s="1" t="s">
        <v>16</v>
      </c>
      <c r="E144" s="1" t="s">
        <v>11</v>
      </c>
      <c r="F144" s="1">
        <v>29087.0</v>
      </c>
      <c r="G144" s="1">
        <v>17536.53</v>
      </c>
      <c r="H144" s="1">
        <v>30.0</v>
      </c>
      <c r="I144" s="1" t="s">
        <v>14</v>
      </c>
    </row>
    <row r="145">
      <c r="A145" s="1">
        <v>1144.0</v>
      </c>
      <c r="B145" s="2">
        <v>45529.0</v>
      </c>
      <c r="C145" s="1" t="s">
        <v>9</v>
      </c>
      <c r="D145" s="1" t="s">
        <v>10</v>
      </c>
      <c r="E145" s="1" t="s">
        <v>17</v>
      </c>
      <c r="F145" s="1">
        <v>20308.0</v>
      </c>
      <c r="G145" s="1">
        <v>12492.93</v>
      </c>
      <c r="H145" s="1">
        <v>40.0</v>
      </c>
      <c r="I145" s="1" t="s">
        <v>14</v>
      </c>
    </row>
    <row r="146">
      <c r="A146" s="1">
        <v>1145.0</v>
      </c>
      <c r="B146" s="2">
        <v>45368.0</v>
      </c>
      <c r="C146" s="1" t="s">
        <v>21</v>
      </c>
      <c r="D146" s="1" t="s">
        <v>16</v>
      </c>
      <c r="E146" s="1" t="s">
        <v>17</v>
      </c>
      <c r="F146" s="1">
        <v>40127.0</v>
      </c>
      <c r="G146" s="1">
        <v>21983.84</v>
      </c>
      <c r="H146" s="1">
        <v>15.0</v>
      </c>
      <c r="I146" s="1" t="s">
        <v>12</v>
      </c>
    </row>
    <row r="147">
      <c r="A147" s="1">
        <v>1146.0</v>
      </c>
      <c r="B147" s="2">
        <v>44929.0</v>
      </c>
      <c r="C147" s="1" t="s">
        <v>15</v>
      </c>
      <c r="D147" s="1" t="s">
        <v>16</v>
      </c>
      <c r="E147" s="1" t="s">
        <v>11</v>
      </c>
      <c r="F147" s="1">
        <v>64637.0</v>
      </c>
      <c r="G147" s="1">
        <v>42098.18</v>
      </c>
      <c r="H147" s="1">
        <v>15.0</v>
      </c>
      <c r="I147" s="1" t="s">
        <v>12</v>
      </c>
    </row>
    <row r="148">
      <c r="A148" s="1">
        <v>1147.0</v>
      </c>
      <c r="B148" s="2">
        <v>45136.0</v>
      </c>
      <c r="C148" s="1" t="s">
        <v>20</v>
      </c>
      <c r="D148" s="1" t="s">
        <v>10</v>
      </c>
      <c r="E148" s="1" t="s">
        <v>22</v>
      </c>
      <c r="F148" s="1">
        <v>41088.0</v>
      </c>
      <c r="G148" s="1">
        <v>35695.1</v>
      </c>
      <c r="H148" s="1">
        <v>20.0</v>
      </c>
      <c r="I148" s="1" t="s">
        <v>12</v>
      </c>
    </row>
    <row r="149">
      <c r="A149" s="1">
        <v>1148.0</v>
      </c>
      <c r="B149" s="2">
        <v>45589.0</v>
      </c>
      <c r="C149" s="1" t="s">
        <v>18</v>
      </c>
      <c r="D149" s="1" t="s">
        <v>16</v>
      </c>
      <c r="E149" s="1" t="s">
        <v>17</v>
      </c>
      <c r="F149" s="1">
        <v>9072.0</v>
      </c>
      <c r="G149" s="1">
        <v>7561.71</v>
      </c>
      <c r="H149" s="1">
        <v>20.0</v>
      </c>
      <c r="I149" s="1" t="s">
        <v>12</v>
      </c>
    </row>
    <row r="150">
      <c r="A150" s="1">
        <v>1149.0</v>
      </c>
      <c r="B150" s="2">
        <v>44943.0</v>
      </c>
      <c r="C150" s="1" t="s">
        <v>18</v>
      </c>
      <c r="D150" s="1" t="s">
        <v>16</v>
      </c>
      <c r="E150" s="1" t="s">
        <v>22</v>
      </c>
      <c r="F150" s="1">
        <v>63388.0</v>
      </c>
      <c r="G150" s="1">
        <v>49476.66</v>
      </c>
      <c r="H150" s="1">
        <v>10.0</v>
      </c>
      <c r="I150" s="1" t="s">
        <v>12</v>
      </c>
    </row>
    <row r="151">
      <c r="A151" s="1">
        <v>1150.0</v>
      </c>
      <c r="B151" s="2">
        <v>45342.0</v>
      </c>
      <c r="C151" s="1" t="s">
        <v>15</v>
      </c>
      <c r="D151" s="1" t="s">
        <v>16</v>
      </c>
      <c r="E151" s="1" t="s">
        <v>17</v>
      </c>
      <c r="F151" s="1">
        <v>37881.0</v>
      </c>
      <c r="G151" s="1">
        <v>32948.54</v>
      </c>
      <c r="H151" s="1">
        <v>20.0</v>
      </c>
      <c r="I151" s="1" t="s">
        <v>14</v>
      </c>
    </row>
    <row r="152">
      <c r="A152" s="1">
        <v>1151.0</v>
      </c>
      <c r="B152" s="2">
        <v>45608.0</v>
      </c>
      <c r="C152" s="1" t="s">
        <v>20</v>
      </c>
      <c r="D152" s="1" t="s">
        <v>10</v>
      </c>
      <c r="E152" s="1" t="s">
        <v>11</v>
      </c>
      <c r="F152" s="1">
        <v>78375.0</v>
      </c>
      <c r="G152" s="1">
        <v>69616.09</v>
      </c>
      <c r="H152" s="1">
        <v>20.0</v>
      </c>
      <c r="I152" s="1" t="s">
        <v>12</v>
      </c>
    </row>
    <row r="153">
      <c r="A153" s="1">
        <v>1152.0</v>
      </c>
      <c r="B153" s="2">
        <v>44940.0</v>
      </c>
      <c r="C153" s="1" t="s">
        <v>18</v>
      </c>
      <c r="D153" s="1" t="s">
        <v>16</v>
      </c>
      <c r="E153" s="1" t="s">
        <v>17</v>
      </c>
      <c r="F153" s="1">
        <v>76405.0</v>
      </c>
      <c r="G153" s="1">
        <v>65859.23</v>
      </c>
      <c r="H153" s="1">
        <v>5.0</v>
      </c>
      <c r="I153" s="1" t="s">
        <v>14</v>
      </c>
    </row>
    <row r="154">
      <c r="A154" s="1">
        <v>1153.0</v>
      </c>
      <c r="B154" s="2">
        <v>45016.0</v>
      </c>
      <c r="C154" s="1" t="s">
        <v>18</v>
      </c>
      <c r="D154" s="1" t="s">
        <v>16</v>
      </c>
      <c r="E154" s="1" t="s">
        <v>11</v>
      </c>
      <c r="F154" s="1">
        <v>31917.0</v>
      </c>
      <c r="G154" s="1">
        <v>16520.4</v>
      </c>
      <c r="H154" s="1">
        <v>20.0</v>
      </c>
      <c r="I154" s="1" t="s">
        <v>14</v>
      </c>
    </row>
    <row r="155">
      <c r="A155" s="1">
        <v>1154.0</v>
      </c>
      <c r="B155" s="2">
        <v>45133.0</v>
      </c>
      <c r="C155" s="1" t="s">
        <v>18</v>
      </c>
      <c r="D155" s="1" t="s">
        <v>16</v>
      </c>
      <c r="E155" s="1" t="s">
        <v>17</v>
      </c>
      <c r="F155" s="1">
        <v>40143.0</v>
      </c>
      <c r="G155" s="1">
        <v>29818.54</v>
      </c>
      <c r="H155" s="1">
        <v>40.0</v>
      </c>
      <c r="I155" s="1" t="s">
        <v>12</v>
      </c>
    </row>
    <row r="156">
      <c r="A156" s="1">
        <v>1155.0</v>
      </c>
      <c r="B156" s="2">
        <v>45170.0</v>
      </c>
      <c r="C156" s="1" t="s">
        <v>15</v>
      </c>
      <c r="D156" s="1" t="s">
        <v>16</v>
      </c>
      <c r="E156" s="1" t="s">
        <v>13</v>
      </c>
      <c r="F156" s="1">
        <v>78447.0</v>
      </c>
      <c r="G156" s="1">
        <v>60178.85</v>
      </c>
      <c r="H156" s="1">
        <v>40.0</v>
      </c>
      <c r="I156" s="1" t="s">
        <v>14</v>
      </c>
    </row>
    <row r="157">
      <c r="A157" s="1">
        <v>1156.0</v>
      </c>
      <c r="B157" s="2">
        <v>45529.0</v>
      </c>
      <c r="C157" s="1" t="s">
        <v>15</v>
      </c>
      <c r="D157" s="1" t="s">
        <v>16</v>
      </c>
      <c r="E157" s="1" t="s">
        <v>11</v>
      </c>
      <c r="F157" s="1">
        <v>19010.0</v>
      </c>
      <c r="G157" s="1">
        <v>11349.53</v>
      </c>
      <c r="H157" s="1">
        <v>30.0</v>
      </c>
      <c r="I157" s="1" t="s">
        <v>12</v>
      </c>
    </row>
    <row r="158">
      <c r="A158" s="1">
        <v>1157.0</v>
      </c>
      <c r="B158" s="2">
        <v>45443.0</v>
      </c>
      <c r="C158" s="1" t="s">
        <v>15</v>
      </c>
      <c r="D158" s="1" t="s">
        <v>16</v>
      </c>
      <c r="E158" s="1" t="s">
        <v>11</v>
      </c>
      <c r="F158" s="1">
        <v>64875.0</v>
      </c>
      <c r="G158" s="1">
        <v>56540.52</v>
      </c>
      <c r="H158" s="1">
        <v>0.0</v>
      </c>
      <c r="I158" s="1" t="s">
        <v>14</v>
      </c>
    </row>
    <row r="159">
      <c r="A159" s="1">
        <v>1158.0</v>
      </c>
      <c r="B159" s="2">
        <v>45425.0</v>
      </c>
      <c r="C159" s="1" t="s">
        <v>9</v>
      </c>
      <c r="D159" s="1" t="s">
        <v>10</v>
      </c>
      <c r="E159" s="1" t="s">
        <v>13</v>
      </c>
      <c r="F159" s="1">
        <v>55984.0</v>
      </c>
      <c r="G159" s="1">
        <v>42390.49</v>
      </c>
      <c r="H159" s="1">
        <v>5.0</v>
      </c>
      <c r="I159" s="1" t="s">
        <v>12</v>
      </c>
    </row>
    <row r="160">
      <c r="A160" s="1">
        <v>1159.0</v>
      </c>
      <c r="B160" s="2">
        <v>44960.0</v>
      </c>
      <c r="C160" s="1" t="s">
        <v>9</v>
      </c>
      <c r="D160" s="1" t="s">
        <v>10</v>
      </c>
      <c r="E160" s="1" t="s">
        <v>11</v>
      </c>
      <c r="F160" s="1">
        <v>51379.0</v>
      </c>
      <c r="G160" s="1">
        <v>38569.31</v>
      </c>
      <c r="I160" s="1" t="s">
        <v>12</v>
      </c>
    </row>
    <row r="161">
      <c r="A161" s="1">
        <v>1160.0</v>
      </c>
      <c r="B161" s="2">
        <v>45218.0</v>
      </c>
      <c r="C161" s="1" t="s">
        <v>18</v>
      </c>
      <c r="D161" s="1" t="s">
        <v>16</v>
      </c>
      <c r="E161" s="1" t="s">
        <v>13</v>
      </c>
      <c r="F161" s="1">
        <v>22466.0</v>
      </c>
      <c r="G161" s="1">
        <v>19652.11</v>
      </c>
      <c r="H161" s="1">
        <v>10.0</v>
      </c>
      <c r="I161" s="1" t="s">
        <v>12</v>
      </c>
    </row>
    <row r="162">
      <c r="A162" s="1">
        <v>1161.0</v>
      </c>
      <c r="B162" s="2">
        <v>45349.0</v>
      </c>
      <c r="C162" s="1" t="s">
        <v>19</v>
      </c>
      <c r="D162" s="1" t="s">
        <v>10</v>
      </c>
      <c r="E162" s="1" t="s">
        <v>11</v>
      </c>
      <c r="F162" s="1">
        <v>11403.0</v>
      </c>
      <c r="G162" s="1">
        <v>6763.99</v>
      </c>
      <c r="H162" s="1">
        <v>40.0</v>
      </c>
      <c r="I162" s="1" t="s">
        <v>14</v>
      </c>
    </row>
    <row r="163">
      <c r="A163" s="1">
        <v>1162.0</v>
      </c>
      <c r="B163" s="2">
        <v>45094.0</v>
      </c>
      <c r="C163" s="1" t="s">
        <v>20</v>
      </c>
      <c r="D163" s="1" t="s">
        <v>10</v>
      </c>
      <c r="E163" s="1" t="s">
        <v>13</v>
      </c>
      <c r="F163" s="1">
        <v>21166.0</v>
      </c>
      <c r="G163" s="1">
        <v>10752.62</v>
      </c>
      <c r="H163" s="1">
        <v>40.0</v>
      </c>
      <c r="I163" s="1" t="s">
        <v>12</v>
      </c>
    </row>
    <row r="164">
      <c r="A164" s="1">
        <v>1163.0</v>
      </c>
      <c r="B164" s="2">
        <v>45599.0</v>
      </c>
      <c r="C164" s="1" t="s">
        <v>20</v>
      </c>
      <c r="D164" s="1" t="s">
        <v>10</v>
      </c>
      <c r="E164" s="1" t="s">
        <v>17</v>
      </c>
      <c r="F164" s="1">
        <v>35600.0</v>
      </c>
      <c r="G164" s="1">
        <v>23169.24</v>
      </c>
      <c r="H164" s="1">
        <v>10.0</v>
      </c>
      <c r="I164" s="1" t="s">
        <v>14</v>
      </c>
    </row>
    <row r="165">
      <c r="A165" s="1">
        <v>1164.0</v>
      </c>
      <c r="B165" s="2">
        <v>45007.0</v>
      </c>
      <c r="C165" s="1" t="s">
        <v>9</v>
      </c>
      <c r="D165" s="1" t="s">
        <v>10</v>
      </c>
      <c r="E165" s="1" t="s">
        <v>22</v>
      </c>
      <c r="F165" s="1">
        <v>31008.0</v>
      </c>
      <c r="G165" s="1">
        <v>23263.24</v>
      </c>
      <c r="I165" s="1" t="s">
        <v>12</v>
      </c>
    </row>
    <row r="166">
      <c r="A166" s="1">
        <v>1165.0</v>
      </c>
      <c r="B166" s="2">
        <v>45506.0</v>
      </c>
      <c r="C166" s="1" t="s">
        <v>15</v>
      </c>
      <c r="D166" s="1" t="s">
        <v>16</v>
      </c>
      <c r="E166" s="1" t="s">
        <v>11</v>
      </c>
      <c r="F166" s="1">
        <v>55522.0</v>
      </c>
      <c r="G166" s="1">
        <v>35567.58</v>
      </c>
      <c r="H166" s="1">
        <v>5.0</v>
      </c>
      <c r="I166" s="1" t="s">
        <v>14</v>
      </c>
    </row>
    <row r="167">
      <c r="A167" s="1">
        <v>1166.0</v>
      </c>
      <c r="B167" s="2">
        <v>44936.0</v>
      </c>
      <c r="C167" s="1" t="s">
        <v>21</v>
      </c>
      <c r="D167" s="1" t="s">
        <v>16</v>
      </c>
      <c r="E167" s="1" t="s">
        <v>11</v>
      </c>
      <c r="F167" s="1">
        <v>20367.0</v>
      </c>
      <c r="H167" s="1">
        <v>40.0</v>
      </c>
      <c r="I167" s="1" t="s">
        <v>12</v>
      </c>
    </row>
    <row r="168">
      <c r="A168" s="1">
        <v>1167.0</v>
      </c>
      <c r="B168" s="2">
        <v>45066.0</v>
      </c>
      <c r="C168" s="1" t="s">
        <v>18</v>
      </c>
      <c r="D168" s="1" t="s">
        <v>16</v>
      </c>
      <c r="E168" s="1" t="s">
        <v>13</v>
      </c>
      <c r="F168" s="1">
        <v>21009.0</v>
      </c>
      <c r="G168" s="1">
        <v>16007.94</v>
      </c>
      <c r="H168" s="1">
        <v>10.0</v>
      </c>
      <c r="I168" s="1" t="s">
        <v>14</v>
      </c>
    </row>
    <row r="169">
      <c r="A169" s="1">
        <v>1168.0</v>
      </c>
      <c r="B169" s="2">
        <v>45429.0</v>
      </c>
      <c r="C169" s="1" t="s">
        <v>19</v>
      </c>
      <c r="D169" s="1" t="s">
        <v>10</v>
      </c>
      <c r="E169" s="1" t="s">
        <v>17</v>
      </c>
      <c r="F169" s="1">
        <v>57852.0</v>
      </c>
      <c r="G169" s="1">
        <v>35223.73</v>
      </c>
      <c r="H169" s="1">
        <v>15.0</v>
      </c>
      <c r="I169" s="1" t="s">
        <v>12</v>
      </c>
    </row>
    <row r="170">
      <c r="A170" s="1">
        <v>1169.0</v>
      </c>
      <c r="B170" s="2">
        <v>45615.0</v>
      </c>
      <c r="C170" s="1" t="s">
        <v>15</v>
      </c>
      <c r="D170" s="1" t="s">
        <v>16</v>
      </c>
      <c r="E170" s="1" t="s">
        <v>17</v>
      </c>
      <c r="F170" s="1">
        <v>48214.0</v>
      </c>
      <c r="G170" s="1">
        <v>32706.66</v>
      </c>
      <c r="H170" s="1">
        <v>5.0</v>
      </c>
      <c r="I170" s="1" t="s">
        <v>12</v>
      </c>
    </row>
    <row r="171">
      <c r="A171" s="1">
        <v>1170.0</v>
      </c>
      <c r="B171" s="2">
        <v>44970.0</v>
      </c>
      <c r="C171" s="1" t="s">
        <v>21</v>
      </c>
      <c r="D171" s="1" t="s">
        <v>16</v>
      </c>
      <c r="E171" s="1" t="s">
        <v>17</v>
      </c>
      <c r="F171" s="1">
        <v>18714.0</v>
      </c>
      <c r="G171" s="1">
        <v>13591.63</v>
      </c>
      <c r="H171" s="1">
        <v>30.0</v>
      </c>
      <c r="I171" s="1" t="s">
        <v>12</v>
      </c>
    </row>
    <row r="172">
      <c r="A172" s="1">
        <v>1171.0</v>
      </c>
      <c r="B172" s="2">
        <v>45382.0</v>
      </c>
      <c r="C172" s="1" t="s">
        <v>15</v>
      </c>
      <c r="D172" s="1" t="s">
        <v>16</v>
      </c>
      <c r="E172" s="1" t="s">
        <v>22</v>
      </c>
      <c r="F172" s="1">
        <v>78479.0</v>
      </c>
      <c r="G172" s="1">
        <v>57549.48</v>
      </c>
      <c r="H172" s="1">
        <v>20.0</v>
      </c>
      <c r="I172" s="1" t="s">
        <v>14</v>
      </c>
    </row>
    <row r="173">
      <c r="A173" s="1">
        <v>1172.0</v>
      </c>
      <c r="B173" s="2">
        <v>45198.0</v>
      </c>
      <c r="C173" s="1" t="s">
        <v>21</v>
      </c>
      <c r="D173" s="1" t="s">
        <v>16</v>
      </c>
      <c r="E173" s="1" t="s">
        <v>22</v>
      </c>
      <c r="F173" s="1">
        <v>52399.0</v>
      </c>
      <c r="G173" s="1">
        <v>33910.41</v>
      </c>
      <c r="H173" s="1">
        <v>0.0</v>
      </c>
      <c r="I173" s="1" t="s">
        <v>12</v>
      </c>
    </row>
    <row r="174">
      <c r="A174" s="1">
        <v>1173.0</v>
      </c>
      <c r="B174" s="2">
        <v>45381.0</v>
      </c>
      <c r="C174" s="1" t="s">
        <v>20</v>
      </c>
      <c r="D174" s="1" t="s">
        <v>10</v>
      </c>
      <c r="E174" s="1" t="s">
        <v>17</v>
      </c>
      <c r="F174" s="1">
        <v>30862.0</v>
      </c>
      <c r="G174" s="1">
        <v>25971.99</v>
      </c>
      <c r="H174" s="1">
        <v>5.0</v>
      </c>
      <c r="I174" s="1" t="s">
        <v>14</v>
      </c>
    </row>
    <row r="175">
      <c r="A175" s="1">
        <v>1174.0</v>
      </c>
      <c r="B175" s="2">
        <v>44987.0</v>
      </c>
      <c r="C175" s="1" t="s">
        <v>9</v>
      </c>
      <c r="D175" s="1" t="s">
        <v>10</v>
      </c>
      <c r="E175" s="1" t="s">
        <v>17</v>
      </c>
      <c r="F175" s="1">
        <v>35675.0</v>
      </c>
      <c r="G175" s="1">
        <v>21457.57</v>
      </c>
      <c r="H175" s="1">
        <v>40.0</v>
      </c>
      <c r="I175" s="1" t="s">
        <v>12</v>
      </c>
    </row>
    <row r="176">
      <c r="A176" s="1">
        <v>1175.0</v>
      </c>
      <c r="B176" s="2">
        <v>45580.0</v>
      </c>
      <c r="C176" s="1" t="s">
        <v>15</v>
      </c>
      <c r="D176" s="1" t="s">
        <v>16</v>
      </c>
      <c r="E176" s="1" t="s">
        <v>11</v>
      </c>
      <c r="F176" s="1">
        <v>31850.0</v>
      </c>
      <c r="G176" s="1">
        <v>27318.4</v>
      </c>
      <c r="H176" s="1">
        <v>10.0</v>
      </c>
      <c r="I176" s="1" t="s">
        <v>14</v>
      </c>
    </row>
    <row r="177">
      <c r="A177" s="1">
        <v>1176.0</v>
      </c>
      <c r="B177" s="2">
        <v>45170.0</v>
      </c>
      <c r="C177" s="1" t="s">
        <v>9</v>
      </c>
      <c r="D177" s="1" t="s">
        <v>10</v>
      </c>
      <c r="E177" s="1" t="s">
        <v>17</v>
      </c>
      <c r="G177" s="1">
        <v>53994.62</v>
      </c>
      <c r="H177" s="1">
        <v>10.0</v>
      </c>
      <c r="I177" s="1" t="s">
        <v>12</v>
      </c>
    </row>
    <row r="178">
      <c r="A178" s="1">
        <v>1177.0</v>
      </c>
      <c r="B178" s="2">
        <v>45159.0</v>
      </c>
      <c r="C178" s="1" t="s">
        <v>20</v>
      </c>
      <c r="D178" s="1" t="s">
        <v>10</v>
      </c>
      <c r="E178" s="1" t="s">
        <v>22</v>
      </c>
      <c r="F178" s="1">
        <v>23563.0</v>
      </c>
      <c r="G178" s="1">
        <v>20709.76</v>
      </c>
      <c r="H178" s="1">
        <v>15.0</v>
      </c>
      <c r="I178" s="1" t="s">
        <v>12</v>
      </c>
    </row>
    <row r="179">
      <c r="A179" s="1">
        <v>1178.0</v>
      </c>
      <c r="B179" s="2">
        <v>45449.0</v>
      </c>
      <c r="C179" s="1" t="s">
        <v>20</v>
      </c>
      <c r="D179" s="1" t="s">
        <v>10</v>
      </c>
      <c r="E179" s="1" t="s">
        <v>13</v>
      </c>
      <c r="F179" s="1">
        <v>59918.0</v>
      </c>
      <c r="G179" s="1">
        <v>34057.74</v>
      </c>
      <c r="H179" s="1">
        <v>40.0</v>
      </c>
      <c r="I179" s="1" t="s">
        <v>12</v>
      </c>
    </row>
    <row r="180">
      <c r="A180" s="1">
        <v>1179.0</v>
      </c>
      <c r="B180" s="2">
        <v>45198.0</v>
      </c>
      <c r="C180" s="1" t="s">
        <v>9</v>
      </c>
      <c r="D180" s="1" t="s">
        <v>10</v>
      </c>
      <c r="E180" s="1" t="s">
        <v>13</v>
      </c>
      <c r="F180" s="1">
        <v>20532.0</v>
      </c>
      <c r="G180" s="1">
        <v>15685.26</v>
      </c>
      <c r="H180" s="1">
        <v>30.0</v>
      </c>
      <c r="I180" s="1" t="s">
        <v>12</v>
      </c>
    </row>
    <row r="181">
      <c r="A181" s="1">
        <v>1180.0</v>
      </c>
      <c r="B181" s="2">
        <v>45117.0</v>
      </c>
      <c r="C181" s="1" t="s">
        <v>21</v>
      </c>
      <c r="D181" s="1" t="s">
        <v>16</v>
      </c>
      <c r="E181" s="1" t="s">
        <v>22</v>
      </c>
      <c r="F181" s="1">
        <v>14639.0</v>
      </c>
      <c r="G181" s="1">
        <v>10007.64</v>
      </c>
      <c r="H181" s="1">
        <v>0.0</v>
      </c>
      <c r="I181" s="1" t="s">
        <v>14</v>
      </c>
    </row>
    <row r="182">
      <c r="A182" s="1">
        <v>1181.0</v>
      </c>
      <c r="B182" s="2">
        <v>45500.0</v>
      </c>
      <c r="C182" s="1" t="s">
        <v>19</v>
      </c>
      <c r="D182" s="1" t="s">
        <v>10</v>
      </c>
      <c r="E182" s="1" t="s">
        <v>11</v>
      </c>
      <c r="G182" s="1">
        <v>45144.53</v>
      </c>
      <c r="H182" s="1">
        <v>10.0</v>
      </c>
      <c r="I182" s="1" t="s">
        <v>12</v>
      </c>
    </row>
    <row r="183">
      <c r="A183" s="1">
        <v>1182.0</v>
      </c>
      <c r="B183" s="2">
        <v>45136.0</v>
      </c>
      <c r="C183" s="1" t="s">
        <v>20</v>
      </c>
      <c r="D183" s="1" t="s">
        <v>10</v>
      </c>
      <c r="E183" s="1" t="s">
        <v>13</v>
      </c>
      <c r="F183" s="1">
        <v>19190.0</v>
      </c>
      <c r="G183" s="1">
        <v>17236.9</v>
      </c>
      <c r="H183" s="1">
        <v>5.0</v>
      </c>
      <c r="I183" s="1" t="s">
        <v>12</v>
      </c>
    </row>
    <row r="184">
      <c r="A184" s="1">
        <v>1183.0</v>
      </c>
      <c r="B184" s="2">
        <v>45528.0</v>
      </c>
      <c r="C184" s="1" t="s">
        <v>21</v>
      </c>
      <c r="D184" s="1" t="s">
        <v>16</v>
      </c>
      <c r="E184" s="1" t="s">
        <v>17</v>
      </c>
      <c r="F184" s="1">
        <v>52559.0</v>
      </c>
      <c r="G184" s="1">
        <v>29184.59</v>
      </c>
      <c r="H184" s="1">
        <v>40.0</v>
      </c>
      <c r="I184" s="1" t="s">
        <v>14</v>
      </c>
    </row>
    <row r="185">
      <c r="A185" s="1">
        <v>1184.0</v>
      </c>
      <c r="B185" s="2">
        <v>45286.0</v>
      </c>
      <c r="C185" s="1" t="s">
        <v>15</v>
      </c>
      <c r="D185" s="1" t="s">
        <v>16</v>
      </c>
      <c r="E185" s="1" t="s">
        <v>22</v>
      </c>
      <c r="F185" s="1">
        <v>78360.0</v>
      </c>
      <c r="G185" s="1">
        <v>48702.73</v>
      </c>
      <c r="H185" s="1">
        <v>20.0</v>
      </c>
      <c r="I185" s="1" t="s">
        <v>14</v>
      </c>
    </row>
    <row r="186">
      <c r="A186" s="1">
        <v>1185.0</v>
      </c>
      <c r="B186" s="2">
        <v>45533.0</v>
      </c>
      <c r="C186" s="1" t="s">
        <v>9</v>
      </c>
      <c r="D186" s="1" t="s">
        <v>10</v>
      </c>
      <c r="E186" s="1" t="s">
        <v>22</v>
      </c>
      <c r="F186" s="1">
        <v>41334.0</v>
      </c>
      <c r="G186" s="1">
        <v>21470.67</v>
      </c>
      <c r="H186" s="1">
        <v>5.0</v>
      </c>
      <c r="I186" s="1" t="s">
        <v>14</v>
      </c>
    </row>
    <row r="187">
      <c r="A187" s="1">
        <v>1186.0</v>
      </c>
      <c r="B187" s="2">
        <v>45321.0</v>
      </c>
      <c r="C187" s="1" t="s">
        <v>21</v>
      </c>
      <c r="D187" s="1" t="s">
        <v>16</v>
      </c>
      <c r="E187" s="1" t="s">
        <v>22</v>
      </c>
      <c r="F187" s="1">
        <v>17822.0</v>
      </c>
      <c r="G187" s="1">
        <v>9313.5</v>
      </c>
      <c r="H187" s="1">
        <v>10.0</v>
      </c>
      <c r="I187" s="1" t="s">
        <v>12</v>
      </c>
    </row>
    <row r="188">
      <c r="A188" s="1">
        <v>1187.0</v>
      </c>
      <c r="B188" s="2">
        <v>45353.0</v>
      </c>
      <c r="C188" s="1" t="s">
        <v>18</v>
      </c>
      <c r="D188" s="1" t="s">
        <v>16</v>
      </c>
      <c r="E188" s="1" t="s">
        <v>17</v>
      </c>
      <c r="F188" s="1">
        <v>62856.0</v>
      </c>
      <c r="G188" s="1">
        <v>41656.91</v>
      </c>
      <c r="H188" s="1">
        <v>30.0</v>
      </c>
      <c r="I188" s="1" t="s">
        <v>14</v>
      </c>
    </row>
    <row r="189">
      <c r="A189" s="1">
        <v>1188.0</v>
      </c>
      <c r="B189" s="2">
        <v>45110.0</v>
      </c>
      <c r="C189" s="1" t="s">
        <v>20</v>
      </c>
      <c r="D189" s="1" t="s">
        <v>10</v>
      </c>
      <c r="E189" s="1" t="s">
        <v>11</v>
      </c>
      <c r="F189" s="1">
        <v>38861.0</v>
      </c>
      <c r="G189" s="1">
        <v>33186.97</v>
      </c>
      <c r="H189" s="1">
        <v>5.0</v>
      </c>
      <c r="I189" s="1" t="s">
        <v>14</v>
      </c>
    </row>
    <row r="190">
      <c r="A190" s="1">
        <v>1189.0</v>
      </c>
      <c r="B190" s="2">
        <v>45092.0</v>
      </c>
      <c r="C190" s="1" t="s">
        <v>21</v>
      </c>
      <c r="D190" s="1" t="s">
        <v>16</v>
      </c>
      <c r="E190" s="1" t="s">
        <v>11</v>
      </c>
      <c r="F190" s="1">
        <v>56354.0</v>
      </c>
      <c r="G190" s="1">
        <v>43986.97</v>
      </c>
      <c r="H190" s="1">
        <v>10.0</v>
      </c>
      <c r="I190" s="1" t="s">
        <v>12</v>
      </c>
    </row>
    <row r="191">
      <c r="A191" s="1">
        <v>1190.0</v>
      </c>
      <c r="B191" s="2">
        <v>45611.0</v>
      </c>
      <c r="C191" s="1" t="s">
        <v>19</v>
      </c>
      <c r="D191" s="1" t="s">
        <v>10</v>
      </c>
      <c r="E191" s="1" t="s">
        <v>22</v>
      </c>
      <c r="F191" s="1">
        <v>63097.0</v>
      </c>
      <c r="G191" s="1">
        <v>40357.87</v>
      </c>
      <c r="H191" s="1">
        <v>20.0</v>
      </c>
      <c r="I191" s="1" t="s">
        <v>14</v>
      </c>
    </row>
    <row r="192">
      <c r="A192" s="1">
        <v>1032.0</v>
      </c>
      <c r="B192" s="2">
        <v>45364.0</v>
      </c>
      <c r="C192" s="1" t="s">
        <v>19</v>
      </c>
      <c r="D192" s="1" t="s">
        <v>10</v>
      </c>
      <c r="E192" s="1" t="s">
        <v>13</v>
      </c>
      <c r="F192" s="1">
        <v>51547.0</v>
      </c>
      <c r="G192" s="1">
        <v>41408.55</v>
      </c>
      <c r="H192" s="1">
        <v>30.0</v>
      </c>
      <c r="I192" s="1" t="s">
        <v>12</v>
      </c>
    </row>
    <row r="193">
      <c r="A193" s="1">
        <v>1067.0</v>
      </c>
      <c r="B193" s="2">
        <v>45436.0</v>
      </c>
      <c r="C193" s="1" t="s">
        <v>21</v>
      </c>
      <c r="D193" s="1" t="s">
        <v>16</v>
      </c>
      <c r="E193" s="1" t="s">
        <v>11</v>
      </c>
      <c r="F193" s="1">
        <v>7480.0</v>
      </c>
      <c r="G193" s="1">
        <v>6720.39</v>
      </c>
      <c r="H193" s="1">
        <v>20.0</v>
      </c>
      <c r="I193" s="1" t="s">
        <v>12</v>
      </c>
    </row>
    <row r="194">
      <c r="A194" s="1">
        <v>1113.0</v>
      </c>
      <c r="B194" s="2">
        <v>45440.0</v>
      </c>
      <c r="C194" s="1" t="s">
        <v>15</v>
      </c>
      <c r="D194" s="1" t="s">
        <v>16</v>
      </c>
      <c r="E194" s="1" t="s">
        <v>11</v>
      </c>
      <c r="F194" s="1">
        <v>37613.0</v>
      </c>
      <c r="G194" s="1">
        <v>28619.63</v>
      </c>
      <c r="H194" s="1">
        <v>5.0</v>
      </c>
      <c r="I194" s="1" t="s">
        <v>14</v>
      </c>
    </row>
    <row r="195">
      <c r="A195" s="1">
        <v>1121.0</v>
      </c>
      <c r="B195" s="2">
        <v>45219.0</v>
      </c>
      <c r="C195" s="1" t="s">
        <v>20</v>
      </c>
      <c r="D195" s="1" t="s">
        <v>10</v>
      </c>
      <c r="E195" s="1" t="s">
        <v>11</v>
      </c>
      <c r="F195" s="1">
        <v>37889.0</v>
      </c>
      <c r="G195" s="1">
        <v>27064.82</v>
      </c>
      <c r="H195" s="1">
        <v>15.0</v>
      </c>
      <c r="I195" s="1" t="s">
        <v>12</v>
      </c>
    </row>
    <row r="196">
      <c r="A196" s="1">
        <v>1082.0</v>
      </c>
      <c r="B196" s="2">
        <v>45398.0</v>
      </c>
      <c r="C196" s="1" t="s">
        <v>21</v>
      </c>
      <c r="D196" s="1" t="s">
        <v>16</v>
      </c>
      <c r="E196" s="1" t="s">
        <v>22</v>
      </c>
      <c r="F196" s="1">
        <v>43198.0</v>
      </c>
      <c r="G196" s="1">
        <v>23158.03</v>
      </c>
      <c r="H196" s="1">
        <v>15.0</v>
      </c>
      <c r="I196" s="1" t="s">
        <v>12</v>
      </c>
    </row>
    <row r="197">
      <c r="A197" s="1">
        <v>1154.0</v>
      </c>
      <c r="B197" s="2">
        <v>45133.0</v>
      </c>
      <c r="C197" s="1" t="s">
        <v>18</v>
      </c>
      <c r="D197" s="1" t="s">
        <v>16</v>
      </c>
      <c r="E197" s="1" t="s">
        <v>17</v>
      </c>
      <c r="F197" s="1">
        <v>40143.0</v>
      </c>
      <c r="G197" s="1">
        <v>29818.54</v>
      </c>
      <c r="H197" s="1">
        <v>40.0</v>
      </c>
      <c r="I197" s="1" t="s">
        <v>12</v>
      </c>
    </row>
    <row r="198">
      <c r="A198" s="1">
        <v>1036.0</v>
      </c>
      <c r="B198" s="2">
        <v>45267.0</v>
      </c>
      <c r="C198" s="1" t="s">
        <v>9</v>
      </c>
      <c r="D198" s="1" t="s">
        <v>10</v>
      </c>
      <c r="E198" s="1" t="s">
        <v>22</v>
      </c>
      <c r="F198" s="1">
        <v>71781.0</v>
      </c>
      <c r="G198" s="1">
        <v>54615.91</v>
      </c>
      <c r="H198" s="1">
        <v>5.0</v>
      </c>
      <c r="I198" s="1" t="s">
        <v>12</v>
      </c>
    </row>
    <row r="199">
      <c r="A199" s="1">
        <v>1103.0</v>
      </c>
      <c r="B199" s="2">
        <v>45393.0</v>
      </c>
      <c r="C199" s="1" t="s">
        <v>9</v>
      </c>
      <c r="D199" s="1" t="s">
        <v>10</v>
      </c>
      <c r="E199" s="1" t="s">
        <v>11</v>
      </c>
      <c r="F199" s="1">
        <v>47019.0</v>
      </c>
      <c r="G199" s="1">
        <v>41648.42</v>
      </c>
      <c r="H199" s="1">
        <v>40.0</v>
      </c>
      <c r="I199" s="1" t="s">
        <v>12</v>
      </c>
    </row>
    <row r="200">
      <c r="A200" s="1">
        <v>1100.0</v>
      </c>
      <c r="B200" s="2">
        <v>45180.0</v>
      </c>
      <c r="C200" s="1" t="s">
        <v>21</v>
      </c>
      <c r="D200" s="1" t="s">
        <v>16</v>
      </c>
      <c r="E200" s="1" t="s">
        <v>11</v>
      </c>
      <c r="F200" s="1">
        <v>29519.0</v>
      </c>
      <c r="G200" s="1">
        <v>16597.48</v>
      </c>
      <c r="H200" s="1">
        <v>30.0</v>
      </c>
      <c r="I200" s="1" t="s">
        <v>12</v>
      </c>
    </row>
    <row r="201">
      <c r="A201" s="1">
        <v>1099.0</v>
      </c>
      <c r="B201" s="2">
        <v>45520.0</v>
      </c>
      <c r="C201" s="1" t="s">
        <v>15</v>
      </c>
      <c r="D201" s="1" t="s">
        <v>16</v>
      </c>
      <c r="E201" s="1" t="s">
        <v>22</v>
      </c>
      <c r="F201" s="1">
        <v>19136.0</v>
      </c>
      <c r="G201" s="1">
        <v>12728.54</v>
      </c>
      <c r="H201" s="1">
        <v>5.0</v>
      </c>
      <c r="I201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23</v>
      </c>
      <c r="K1" s="1" t="s">
        <v>24</v>
      </c>
      <c r="L1" s="1" t="s">
        <v>25</v>
      </c>
      <c r="M1" s="4" t="s">
        <v>26</v>
      </c>
      <c r="N1" s="4" t="s">
        <v>26</v>
      </c>
      <c r="O1" s="4" t="s">
        <v>26</v>
      </c>
      <c r="P1" s="4" t="s">
        <v>26</v>
      </c>
    </row>
    <row r="2">
      <c r="A2" s="1">
        <v>1001.0</v>
      </c>
      <c r="B2" s="2">
        <v>44991.0</v>
      </c>
      <c r="C2" s="1" t="s">
        <v>9</v>
      </c>
      <c r="D2" s="1" t="s">
        <v>10</v>
      </c>
      <c r="E2" s="1" t="s">
        <v>11</v>
      </c>
      <c r="F2" s="1">
        <v>19641.0</v>
      </c>
      <c r="G2" s="1">
        <v>14819.37</v>
      </c>
      <c r="H2" s="1">
        <v>20.0</v>
      </c>
      <c r="I2" s="1" t="s">
        <v>12</v>
      </c>
      <c r="J2" s="4">
        <f t="shared" ref="J2:J191" si="1">F2-G2</f>
        <v>4821.63</v>
      </c>
      <c r="K2" s="4">
        <f t="shared" ref="K2:K191" si="2">MONTH(B2)</f>
        <v>3</v>
      </c>
      <c r="L2" s="4" t="str">
        <f t="shared" ref="L2:L191" si="3">if(H2&gt;20,"High Discount","Low Discount")</f>
        <v>Low Discount</v>
      </c>
    </row>
    <row r="3">
      <c r="A3" s="1">
        <v>1002.0</v>
      </c>
      <c r="B3" s="2">
        <v>45018.0</v>
      </c>
      <c r="C3" s="1" t="s">
        <v>9</v>
      </c>
      <c r="D3" s="1" t="s">
        <v>10</v>
      </c>
      <c r="E3" s="1" t="s">
        <v>13</v>
      </c>
      <c r="F3" s="1">
        <v>22546.0</v>
      </c>
      <c r="G3" s="1">
        <v>13660.02</v>
      </c>
      <c r="H3" s="1">
        <v>30.0</v>
      </c>
      <c r="I3" s="1" t="s">
        <v>14</v>
      </c>
      <c r="J3" s="4">
        <f t="shared" si="1"/>
        <v>8885.98</v>
      </c>
      <c r="K3" s="4">
        <f t="shared" si="2"/>
        <v>4</v>
      </c>
      <c r="L3" s="4" t="str">
        <f t="shared" si="3"/>
        <v>High Discount</v>
      </c>
    </row>
    <row r="4">
      <c r="A4" s="1">
        <v>1003.0</v>
      </c>
      <c r="B4" s="2">
        <v>45572.0</v>
      </c>
      <c r="C4" s="1" t="s">
        <v>15</v>
      </c>
      <c r="D4" s="1" t="s">
        <v>16</v>
      </c>
      <c r="E4" s="1" t="s">
        <v>17</v>
      </c>
      <c r="F4" s="1">
        <v>65307.0</v>
      </c>
      <c r="G4" s="1">
        <v>45170.26</v>
      </c>
      <c r="H4" s="1">
        <v>30.0</v>
      </c>
      <c r="I4" s="1" t="s">
        <v>12</v>
      </c>
      <c r="J4" s="4">
        <f t="shared" si="1"/>
        <v>20136.74</v>
      </c>
      <c r="K4" s="4">
        <f t="shared" si="2"/>
        <v>10</v>
      </c>
      <c r="L4" s="4" t="str">
        <f t="shared" si="3"/>
        <v>High Discount</v>
      </c>
    </row>
    <row r="5">
      <c r="A5" s="1">
        <v>1004.0</v>
      </c>
      <c r="B5" s="2">
        <v>45214.0</v>
      </c>
      <c r="C5" s="1" t="s">
        <v>18</v>
      </c>
      <c r="D5" s="1" t="s">
        <v>16</v>
      </c>
      <c r="E5" s="1" t="s">
        <v>17</v>
      </c>
      <c r="F5" s="1">
        <v>19193.0</v>
      </c>
      <c r="G5" s="1">
        <v>13671.68</v>
      </c>
      <c r="H5" s="1">
        <v>20.0</v>
      </c>
      <c r="I5" s="1" t="s">
        <v>14</v>
      </c>
      <c r="J5" s="4">
        <f t="shared" si="1"/>
        <v>5521.32</v>
      </c>
      <c r="K5" s="4">
        <f t="shared" si="2"/>
        <v>10</v>
      </c>
      <c r="L5" s="4" t="str">
        <f t="shared" si="3"/>
        <v>Low Discount</v>
      </c>
    </row>
    <row r="6">
      <c r="A6" s="1">
        <v>1005.0</v>
      </c>
      <c r="B6" s="2">
        <v>45076.0</v>
      </c>
      <c r="C6" s="1" t="s">
        <v>19</v>
      </c>
      <c r="D6" s="1" t="s">
        <v>10</v>
      </c>
      <c r="E6" s="1" t="s">
        <v>13</v>
      </c>
      <c r="F6" s="1">
        <v>49291.0</v>
      </c>
      <c r="G6" s="4">
        <f>AVERAGE(G2,G201)</f>
        <v>14819.37</v>
      </c>
      <c r="H6" s="1">
        <v>15.0</v>
      </c>
      <c r="I6" s="1" t="s">
        <v>14</v>
      </c>
      <c r="J6" s="4">
        <f t="shared" si="1"/>
        <v>34471.63</v>
      </c>
      <c r="K6" s="4">
        <f t="shared" si="2"/>
        <v>5</v>
      </c>
      <c r="L6" s="4" t="str">
        <f t="shared" si="3"/>
        <v>Low Discount</v>
      </c>
    </row>
    <row r="7">
      <c r="A7" s="1">
        <v>1006.0</v>
      </c>
      <c r="B7" s="2">
        <v>45192.0</v>
      </c>
      <c r="C7" s="1" t="s">
        <v>20</v>
      </c>
      <c r="D7" s="1" t="s">
        <v>10</v>
      </c>
      <c r="E7" s="1" t="s">
        <v>17</v>
      </c>
      <c r="F7" s="1">
        <v>60900.0</v>
      </c>
      <c r="G7" s="1">
        <v>40897.4</v>
      </c>
      <c r="H7" s="1">
        <v>40.0</v>
      </c>
      <c r="I7" s="1" t="s">
        <v>14</v>
      </c>
      <c r="J7" s="4">
        <f t="shared" si="1"/>
        <v>20002.6</v>
      </c>
      <c r="K7" s="4">
        <f t="shared" si="2"/>
        <v>9</v>
      </c>
      <c r="L7" s="4" t="str">
        <f t="shared" si="3"/>
        <v>High Discount</v>
      </c>
    </row>
    <row r="8">
      <c r="A8" s="1">
        <v>1007.0</v>
      </c>
      <c r="B8" s="2">
        <v>45229.0</v>
      </c>
      <c r="C8" s="1" t="s">
        <v>15</v>
      </c>
      <c r="D8" s="1" t="s">
        <v>16</v>
      </c>
      <c r="E8" s="1" t="s">
        <v>17</v>
      </c>
      <c r="F8" s="1">
        <v>59202.0</v>
      </c>
      <c r="G8" s="1">
        <v>52618.65</v>
      </c>
      <c r="H8" s="1">
        <v>15.0</v>
      </c>
      <c r="I8" s="1" t="s">
        <v>12</v>
      </c>
      <c r="J8" s="4">
        <f t="shared" si="1"/>
        <v>6583.35</v>
      </c>
      <c r="K8" s="4">
        <f t="shared" si="2"/>
        <v>10</v>
      </c>
      <c r="L8" s="4" t="str">
        <f t="shared" si="3"/>
        <v>Low Discount</v>
      </c>
    </row>
    <row r="9">
      <c r="A9" s="1">
        <v>1008.0</v>
      </c>
      <c r="B9" s="2">
        <v>45362.0</v>
      </c>
      <c r="C9" s="1" t="s">
        <v>21</v>
      </c>
      <c r="D9" s="1" t="s">
        <v>16</v>
      </c>
      <c r="E9" s="1" t="s">
        <v>13</v>
      </c>
      <c r="F9" s="1">
        <v>31775.0</v>
      </c>
      <c r="G9" s="1">
        <v>21276.46</v>
      </c>
      <c r="H9" s="1">
        <v>10.0</v>
      </c>
      <c r="I9" s="1" t="s">
        <v>14</v>
      </c>
      <c r="J9" s="4">
        <f t="shared" si="1"/>
        <v>10498.54</v>
      </c>
      <c r="K9" s="4">
        <f t="shared" si="2"/>
        <v>3</v>
      </c>
      <c r="L9" s="4" t="str">
        <f t="shared" si="3"/>
        <v>Low Discount</v>
      </c>
    </row>
    <row r="10">
      <c r="A10" s="1">
        <v>1009.0</v>
      </c>
      <c r="B10" s="2">
        <v>45544.0</v>
      </c>
      <c r="C10" s="1" t="s">
        <v>21</v>
      </c>
      <c r="D10" s="1" t="s">
        <v>16</v>
      </c>
      <c r="E10" s="1" t="s">
        <v>13</v>
      </c>
      <c r="F10" s="1">
        <v>47726.0</v>
      </c>
      <c r="G10" s="1">
        <v>41626.35</v>
      </c>
      <c r="H10" s="1">
        <v>15.0</v>
      </c>
      <c r="I10" s="1" t="s">
        <v>14</v>
      </c>
      <c r="J10" s="4">
        <f t="shared" si="1"/>
        <v>6099.65</v>
      </c>
      <c r="K10" s="4">
        <f t="shared" si="2"/>
        <v>9</v>
      </c>
      <c r="L10" s="4" t="str">
        <f t="shared" si="3"/>
        <v>Low Discount</v>
      </c>
    </row>
    <row r="11">
      <c r="A11" s="1">
        <v>1010.0</v>
      </c>
      <c r="B11" s="2">
        <v>45271.0</v>
      </c>
      <c r="C11" s="1" t="s">
        <v>18</v>
      </c>
      <c r="D11" s="1" t="s">
        <v>16</v>
      </c>
      <c r="E11" s="1" t="s">
        <v>11</v>
      </c>
      <c r="F11" s="1">
        <v>14037.0</v>
      </c>
      <c r="G11" s="1">
        <v>12525.83</v>
      </c>
      <c r="H11" s="1">
        <v>15.0</v>
      </c>
      <c r="I11" s="1" t="s">
        <v>12</v>
      </c>
      <c r="J11" s="4">
        <f t="shared" si="1"/>
        <v>1511.17</v>
      </c>
      <c r="K11" s="4">
        <f t="shared" si="2"/>
        <v>12</v>
      </c>
      <c r="L11" s="4" t="str">
        <f t="shared" si="3"/>
        <v>Low Discount</v>
      </c>
    </row>
    <row r="12">
      <c r="A12" s="1">
        <v>1011.0</v>
      </c>
      <c r="B12" s="2">
        <v>45013.0</v>
      </c>
      <c r="C12" s="1" t="s">
        <v>21</v>
      </c>
      <c r="D12" s="1" t="s">
        <v>16</v>
      </c>
      <c r="E12" s="1" t="s">
        <v>17</v>
      </c>
      <c r="F12" s="1">
        <v>40232.0</v>
      </c>
      <c r="G12" s="1">
        <v>27888.38</v>
      </c>
      <c r="H12" s="1">
        <v>0.0</v>
      </c>
      <c r="I12" s="1" t="s">
        <v>14</v>
      </c>
      <c r="J12" s="4">
        <f t="shared" si="1"/>
        <v>12343.62</v>
      </c>
      <c r="K12" s="4">
        <f t="shared" si="2"/>
        <v>3</v>
      </c>
      <c r="L12" s="4" t="str">
        <f t="shared" si="3"/>
        <v>Low Discount</v>
      </c>
    </row>
    <row r="13">
      <c r="A13" s="1">
        <v>1012.0</v>
      </c>
      <c r="B13" s="2">
        <v>45538.0</v>
      </c>
      <c r="C13" s="1" t="s">
        <v>19</v>
      </c>
      <c r="D13" s="1" t="s">
        <v>10</v>
      </c>
      <c r="E13" s="1" t="s">
        <v>13</v>
      </c>
      <c r="F13" s="1">
        <v>24096.0</v>
      </c>
      <c r="G13" s="1">
        <v>14611.08</v>
      </c>
      <c r="H13" s="1">
        <v>15.0</v>
      </c>
      <c r="I13" s="1" t="s">
        <v>12</v>
      </c>
      <c r="J13" s="4">
        <f t="shared" si="1"/>
        <v>9484.92</v>
      </c>
      <c r="K13" s="4">
        <f t="shared" si="2"/>
        <v>9</v>
      </c>
      <c r="L13" s="4" t="str">
        <f t="shared" si="3"/>
        <v>Low Discount</v>
      </c>
    </row>
    <row r="14">
      <c r="A14" s="1">
        <v>1013.0</v>
      </c>
      <c r="B14" s="2">
        <v>45088.0</v>
      </c>
      <c r="C14" s="1" t="s">
        <v>9</v>
      </c>
      <c r="D14" s="1" t="s">
        <v>10</v>
      </c>
      <c r="E14" s="1" t="s">
        <v>11</v>
      </c>
      <c r="F14" s="1">
        <v>35404.0</v>
      </c>
      <c r="G14" s="1">
        <v>20699.18</v>
      </c>
      <c r="H14" s="1">
        <v>5.0</v>
      </c>
      <c r="I14" s="1" t="s">
        <v>14</v>
      </c>
      <c r="J14" s="4">
        <f t="shared" si="1"/>
        <v>14704.82</v>
      </c>
      <c r="K14" s="4">
        <f t="shared" si="2"/>
        <v>6</v>
      </c>
      <c r="L14" s="4" t="str">
        <f t="shared" si="3"/>
        <v>Low Discount</v>
      </c>
    </row>
    <row r="15">
      <c r="A15" s="1">
        <v>1014.0</v>
      </c>
      <c r="B15" s="2">
        <v>45109.0</v>
      </c>
      <c r="C15" s="1" t="s">
        <v>9</v>
      </c>
      <c r="D15" s="1" t="s">
        <v>10</v>
      </c>
      <c r="E15" s="1" t="s">
        <v>13</v>
      </c>
      <c r="F15" s="1">
        <v>57693.0</v>
      </c>
      <c r="G15" s="1">
        <v>43926.53</v>
      </c>
      <c r="H15" s="1">
        <v>0.0</v>
      </c>
      <c r="I15" s="1" t="s">
        <v>12</v>
      </c>
      <c r="J15" s="4">
        <f t="shared" si="1"/>
        <v>13766.47</v>
      </c>
      <c r="K15" s="4">
        <f t="shared" si="2"/>
        <v>7</v>
      </c>
      <c r="L15" s="4" t="str">
        <f t="shared" si="3"/>
        <v>Low Discount</v>
      </c>
    </row>
    <row r="16">
      <c r="A16" s="1">
        <v>1015.0</v>
      </c>
      <c r="B16" s="2">
        <v>45026.0</v>
      </c>
      <c r="C16" s="1" t="s">
        <v>15</v>
      </c>
      <c r="D16" s="1" t="s">
        <v>16</v>
      </c>
      <c r="E16" s="1" t="s">
        <v>22</v>
      </c>
      <c r="F16" s="1">
        <v>12879.0</v>
      </c>
      <c r="G16" s="4">
        <v>14819.37</v>
      </c>
      <c r="H16" s="1">
        <v>40.0</v>
      </c>
      <c r="I16" s="1" t="s">
        <v>14</v>
      </c>
      <c r="J16" s="4">
        <f t="shared" si="1"/>
        <v>-1940.37</v>
      </c>
      <c r="K16" s="4">
        <f t="shared" si="2"/>
        <v>4</v>
      </c>
      <c r="L16" s="4" t="str">
        <f t="shared" si="3"/>
        <v>High Discount</v>
      </c>
    </row>
    <row r="17">
      <c r="A17" s="1">
        <v>1016.0</v>
      </c>
      <c r="B17" s="2">
        <v>45056.0</v>
      </c>
      <c r="C17" s="1" t="s">
        <v>9</v>
      </c>
      <c r="D17" s="1" t="s">
        <v>10</v>
      </c>
      <c r="E17" s="1" t="s">
        <v>11</v>
      </c>
      <c r="F17" s="1">
        <v>67835.0</v>
      </c>
      <c r="G17" s="1">
        <v>52270.23</v>
      </c>
      <c r="H17" s="1">
        <v>10.0</v>
      </c>
      <c r="I17" s="1" t="s">
        <v>12</v>
      </c>
      <c r="J17" s="4">
        <f t="shared" si="1"/>
        <v>15564.77</v>
      </c>
      <c r="K17" s="4">
        <f t="shared" si="2"/>
        <v>5</v>
      </c>
      <c r="L17" s="4" t="str">
        <f t="shared" si="3"/>
        <v>Low Discount</v>
      </c>
    </row>
    <row r="18">
      <c r="A18" s="1">
        <v>1017.0</v>
      </c>
      <c r="B18" s="2">
        <v>45396.0</v>
      </c>
      <c r="C18" s="1" t="s">
        <v>9</v>
      </c>
      <c r="D18" s="1" t="s">
        <v>10</v>
      </c>
      <c r="E18" s="1" t="s">
        <v>17</v>
      </c>
      <c r="F18" s="1">
        <v>40984.0</v>
      </c>
      <c r="G18" s="1">
        <v>28920.61</v>
      </c>
      <c r="H18" s="1">
        <v>0.0</v>
      </c>
      <c r="I18" s="1" t="s">
        <v>14</v>
      </c>
      <c r="J18" s="4">
        <f t="shared" si="1"/>
        <v>12063.39</v>
      </c>
      <c r="K18" s="4">
        <f t="shared" si="2"/>
        <v>4</v>
      </c>
      <c r="L18" s="4" t="str">
        <f t="shared" si="3"/>
        <v>Low Discount</v>
      </c>
    </row>
    <row r="19">
      <c r="A19" s="1">
        <v>1018.0</v>
      </c>
      <c r="B19" s="2">
        <v>45485.0</v>
      </c>
      <c r="C19" s="1" t="s">
        <v>20</v>
      </c>
      <c r="D19" s="1" t="s">
        <v>10</v>
      </c>
      <c r="E19" s="1" t="s">
        <v>13</v>
      </c>
      <c r="F19" s="1">
        <v>65624.0</v>
      </c>
      <c r="G19" s="1">
        <v>55805.55</v>
      </c>
      <c r="H19" s="1">
        <v>40.0</v>
      </c>
      <c r="I19" s="1" t="s">
        <v>12</v>
      </c>
      <c r="J19" s="4">
        <f t="shared" si="1"/>
        <v>9818.45</v>
      </c>
      <c r="K19" s="4">
        <f t="shared" si="2"/>
        <v>7</v>
      </c>
      <c r="L19" s="4" t="str">
        <f t="shared" si="3"/>
        <v>High Discount</v>
      </c>
    </row>
    <row r="20">
      <c r="A20" s="1">
        <v>1019.0</v>
      </c>
      <c r="B20" s="2">
        <v>45304.0</v>
      </c>
      <c r="C20" s="1" t="s">
        <v>21</v>
      </c>
      <c r="D20" s="1" t="s">
        <v>16</v>
      </c>
      <c r="E20" s="1" t="s">
        <v>22</v>
      </c>
      <c r="F20" s="1">
        <v>75542.0</v>
      </c>
      <c r="G20" s="1">
        <v>50879.32</v>
      </c>
      <c r="H20" s="1">
        <v>15.0</v>
      </c>
      <c r="I20" s="1" t="s">
        <v>12</v>
      </c>
      <c r="J20" s="4">
        <f t="shared" si="1"/>
        <v>24662.68</v>
      </c>
      <c r="K20" s="4">
        <f t="shared" si="2"/>
        <v>1</v>
      </c>
      <c r="L20" s="4" t="str">
        <f t="shared" si="3"/>
        <v>Low Discount</v>
      </c>
    </row>
    <row r="21">
      <c r="A21" s="1">
        <v>1020.0</v>
      </c>
      <c r="B21" s="2">
        <v>45352.0</v>
      </c>
      <c r="C21" s="1" t="s">
        <v>20</v>
      </c>
      <c r="D21" s="1" t="s">
        <v>10</v>
      </c>
      <c r="E21" s="1" t="s">
        <v>13</v>
      </c>
      <c r="F21" s="1">
        <v>76394.0</v>
      </c>
      <c r="G21" s="1">
        <v>44173.86</v>
      </c>
      <c r="H21" s="1">
        <v>15.0</v>
      </c>
      <c r="I21" s="1" t="s">
        <v>14</v>
      </c>
      <c r="J21" s="4">
        <f t="shared" si="1"/>
        <v>32220.14</v>
      </c>
      <c r="K21" s="4">
        <f t="shared" si="2"/>
        <v>3</v>
      </c>
      <c r="L21" s="4" t="str">
        <f t="shared" si="3"/>
        <v>Low Discount</v>
      </c>
    </row>
    <row r="22">
      <c r="A22" s="1">
        <v>1021.0</v>
      </c>
      <c r="B22" s="2">
        <v>45125.0</v>
      </c>
      <c r="C22" s="1" t="s">
        <v>20</v>
      </c>
      <c r="D22" s="1" t="s">
        <v>10</v>
      </c>
      <c r="E22" s="1" t="s">
        <v>17</v>
      </c>
      <c r="F22" s="1">
        <v>67342.0</v>
      </c>
      <c r="G22" s="1">
        <v>54715.75</v>
      </c>
      <c r="H22" s="1">
        <v>10.0</v>
      </c>
      <c r="I22" s="1" t="s">
        <v>14</v>
      </c>
      <c r="J22" s="4">
        <f t="shared" si="1"/>
        <v>12626.25</v>
      </c>
      <c r="K22" s="4">
        <f t="shared" si="2"/>
        <v>7</v>
      </c>
      <c r="L22" s="4" t="str">
        <f t="shared" si="3"/>
        <v>Low Discount</v>
      </c>
    </row>
    <row r="23">
      <c r="A23" s="1">
        <v>1022.0</v>
      </c>
      <c r="B23" s="2">
        <v>45437.0</v>
      </c>
      <c r="C23" s="1" t="s">
        <v>19</v>
      </c>
      <c r="D23" s="1" t="s">
        <v>10</v>
      </c>
      <c r="E23" s="1" t="s">
        <v>17</v>
      </c>
      <c r="F23" s="1">
        <v>78376.0</v>
      </c>
      <c r="G23" s="1">
        <v>48080.06</v>
      </c>
      <c r="H23" s="1">
        <v>40.0</v>
      </c>
      <c r="I23" s="1" t="s">
        <v>14</v>
      </c>
      <c r="J23" s="4">
        <f t="shared" si="1"/>
        <v>30295.94</v>
      </c>
      <c r="K23" s="4">
        <f t="shared" si="2"/>
        <v>5</v>
      </c>
      <c r="L23" s="4" t="str">
        <f t="shared" si="3"/>
        <v>High Discount</v>
      </c>
    </row>
    <row r="24">
      <c r="A24" s="1">
        <v>1023.0</v>
      </c>
      <c r="B24" s="2">
        <v>45393.0</v>
      </c>
      <c r="C24" s="1" t="s">
        <v>21</v>
      </c>
      <c r="D24" s="1" t="s">
        <v>16</v>
      </c>
      <c r="E24" s="1" t="s">
        <v>17</v>
      </c>
      <c r="F24" s="1">
        <v>71482.0</v>
      </c>
      <c r="G24" s="1">
        <v>45377.86</v>
      </c>
      <c r="H24" s="1">
        <v>40.0</v>
      </c>
      <c r="I24" s="1" t="s">
        <v>12</v>
      </c>
      <c r="J24" s="4">
        <f t="shared" si="1"/>
        <v>26104.14</v>
      </c>
      <c r="K24" s="4">
        <f t="shared" si="2"/>
        <v>4</v>
      </c>
      <c r="L24" s="4" t="str">
        <f t="shared" si="3"/>
        <v>High Discount</v>
      </c>
    </row>
    <row r="25">
      <c r="A25" s="1">
        <v>1024.0</v>
      </c>
      <c r="B25" s="2">
        <v>45531.0</v>
      </c>
      <c r="C25" s="1" t="s">
        <v>19</v>
      </c>
      <c r="D25" s="1" t="s">
        <v>10</v>
      </c>
      <c r="E25" s="1" t="s">
        <v>22</v>
      </c>
      <c r="F25" s="1">
        <v>37049.0</v>
      </c>
      <c r="G25" s="1">
        <v>25826.2</v>
      </c>
      <c r="H25" s="1">
        <v>40.0</v>
      </c>
      <c r="I25" s="1" t="s">
        <v>12</v>
      </c>
      <c r="J25" s="4">
        <f t="shared" si="1"/>
        <v>11222.8</v>
      </c>
      <c r="K25" s="4">
        <f t="shared" si="2"/>
        <v>8</v>
      </c>
      <c r="L25" s="4" t="str">
        <f t="shared" si="3"/>
        <v>High Discount</v>
      </c>
    </row>
    <row r="26">
      <c r="A26" s="1">
        <v>1025.0</v>
      </c>
      <c r="B26" s="2">
        <v>45151.0</v>
      </c>
      <c r="C26" s="1" t="s">
        <v>15</v>
      </c>
      <c r="D26" s="1" t="s">
        <v>16</v>
      </c>
      <c r="E26" s="1" t="s">
        <v>11</v>
      </c>
      <c r="F26" s="1">
        <v>77812.0</v>
      </c>
      <c r="G26" s="1">
        <v>54976.09</v>
      </c>
      <c r="H26" s="1">
        <v>40.0</v>
      </c>
      <c r="I26" s="1" t="s">
        <v>14</v>
      </c>
      <c r="J26" s="4">
        <f t="shared" si="1"/>
        <v>22835.91</v>
      </c>
      <c r="K26" s="4">
        <f t="shared" si="2"/>
        <v>8</v>
      </c>
      <c r="L26" s="4" t="str">
        <f t="shared" si="3"/>
        <v>High Discount</v>
      </c>
    </row>
    <row r="27">
      <c r="A27" s="1">
        <v>1026.0</v>
      </c>
      <c r="B27" s="2">
        <v>45561.0</v>
      </c>
      <c r="C27" s="1" t="s">
        <v>21</v>
      </c>
      <c r="D27" s="1" t="s">
        <v>16</v>
      </c>
      <c r="E27" s="1" t="s">
        <v>17</v>
      </c>
      <c r="F27" s="1">
        <v>14143.0</v>
      </c>
      <c r="G27" s="1">
        <v>7657.82</v>
      </c>
      <c r="H27" s="1">
        <v>15.0</v>
      </c>
      <c r="I27" s="1" t="s">
        <v>14</v>
      </c>
      <c r="J27" s="4">
        <f t="shared" si="1"/>
        <v>6485.18</v>
      </c>
      <c r="K27" s="4">
        <f t="shared" si="2"/>
        <v>9</v>
      </c>
      <c r="L27" s="4" t="str">
        <f t="shared" si="3"/>
        <v>Low Discount</v>
      </c>
    </row>
    <row r="28">
      <c r="A28" s="1">
        <v>1027.0</v>
      </c>
      <c r="B28" s="2">
        <v>45173.0</v>
      </c>
      <c r="C28" s="1" t="s">
        <v>9</v>
      </c>
      <c r="D28" s="1" t="s">
        <v>10</v>
      </c>
      <c r="E28" s="1" t="s">
        <v>17</v>
      </c>
      <c r="F28" s="1">
        <v>22550.0</v>
      </c>
      <c r="G28" s="1">
        <v>11957.67</v>
      </c>
      <c r="H28" s="1">
        <v>0.0</v>
      </c>
      <c r="I28" s="1" t="s">
        <v>14</v>
      </c>
      <c r="J28" s="4">
        <f t="shared" si="1"/>
        <v>10592.33</v>
      </c>
      <c r="K28" s="4">
        <f t="shared" si="2"/>
        <v>9</v>
      </c>
      <c r="L28" s="4" t="str">
        <f t="shared" si="3"/>
        <v>Low Discount</v>
      </c>
    </row>
    <row r="29">
      <c r="A29" s="1">
        <v>1028.0</v>
      </c>
      <c r="B29" s="2">
        <v>45486.0</v>
      </c>
      <c r="C29" s="1" t="s">
        <v>15</v>
      </c>
      <c r="D29" s="1" t="s">
        <v>16</v>
      </c>
      <c r="E29" s="1" t="s">
        <v>17</v>
      </c>
      <c r="F29" s="1">
        <v>17188.0</v>
      </c>
      <c r="G29" s="1">
        <v>14290.57</v>
      </c>
      <c r="H29" s="1">
        <v>30.0</v>
      </c>
      <c r="I29" s="1" t="s">
        <v>14</v>
      </c>
      <c r="J29" s="4">
        <f t="shared" si="1"/>
        <v>2897.43</v>
      </c>
      <c r="K29" s="4">
        <f t="shared" si="2"/>
        <v>7</v>
      </c>
      <c r="L29" s="4" t="str">
        <f t="shared" si="3"/>
        <v>High Discount</v>
      </c>
    </row>
    <row r="30">
      <c r="A30" s="1">
        <v>1029.0</v>
      </c>
      <c r="B30" s="2">
        <v>45360.0</v>
      </c>
      <c r="C30" s="1" t="s">
        <v>20</v>
      </c>
      <c r="D30" s="1" t="s">
        <v>10</v>
      </c>
      <c r="E30" s="1" t="s">
        <v>17</v>
      </c>
      <c r="F30" s="1">
        <v>56143.0</v>
      </c>
      <c r="G30" s="1">
        <v>30507.59</v>
      </c>
      <c r="H30" s="1">
        <v>40.0</v>
      </c>
      <c r="I30" s="1" t="s">
        <v>14</v>
      </c>
      <c r="J30" s="4">
        <f t="shared" si="1"/>
        <v>25635.41</v>
      </c>
      <c r="K30" s="4">
        <f t="shared" si="2"/>
        <v>3</v>
      </c>
      <c r="L30" s="4" t="str">
        <f t="shared" si="3"/>
        <v>High Discount</v>
      </c>
    </row>
    <row r="31">
      <c r="A31" s="1">
        <v>1030.0</v>
      </c>
      <c r="B31" s="2">
        <v>45314.0</v>
      </c>
      <c r="C31" s="1" t="s">
        <v>15</v>
      </c>
      <c r="D31" s="1" t="s">
        <v>16</v>
      </c>
      <c r="E31" s="1" t="s">
        <v>22</v>
      </c>
      <c r="F31" s="1">
        <v>8955.0</v>
      </c>
      <c r="G31" s="1">
        <v>6782.65</v>
      </c>
      <c r="H31" s="1">
        <v>30.0</v>
      </c>
      <c r="I31" s="1" t="s">
        <v>14</v>
      </c>
      <c r="J31" s="4">
        <f t="shared" si="1"/>
        <v>2172.35</v>
      </c>
      <c r="K31" s="4">
        <f t="shared" si="2"/>
        <v>1</v>
      </c>
      <c r="L31" s="4" t="str">
        <f t="shared" si="3"/>
        <v>High Discount</v>
      </c>
    </row>
    <row r="32">
      <c r="A32" s="1">
        <v>1031.0</v>
      </c>
      <c r="B32" s="2">
        <v>45090.0</v>
      </c>
      <c r="C32" s="1" t="s">
        <v>9</v>
      </c>
      <c r="D32" s="1" t="s">
        <v>10</v>
      </c>
      <c r="E32" s="1" t="s">
        <v>22</v>
      </c>
      <c r="F32" s="1">
        <v>34941.0</v>
      </c>
      <c r="G32" s="1">
        <v>24484.21</v>
      </c>
      <c r="H32" s="1">
        <v>15.0</v>
      </c>
      <c r="I32" s="1" t="s">
        <v>14</v>
      </c>
      <c r="J32" s="4">
        <f t="shared" si="1"/>
        <v>10456.79</v>
      </c>
      <c r="K32" s="4">
        <f t="shared" si="2"/>
        <v>6</v>
      </c>
      <c r="L32" s="4" t="str">
        <f t="shared" si="3"/>
        <v>Low Discount</v>
      </c>
    </row>
    <row r="33">
      <c r="A33" s="1">
        <v>1032.0</v>
      </c>
      <c r="B33" s="2">
        <v>45364.0</v>
      </c>
      <c r="C33" s="1" t="s">
        <v>19</v>
      </c>
      <c r="D33" s="1" t="s">
        <v>10</v>
      </c>
      <c r="E33" s="1" t="s">
        <v>13</v>
      </c>
      <c r="F33" s="1">
        <v>51547.0</v>
      </c>
      <c r="G33" s="1">
        <v>41408.55</v>
      </c>
      <c r="H33" s="1">
        <v>30.0</v>
      </c>
      <c r="I33" s="1" t="s">
        <v>12</v>
      </c>
      <c r="J33" s="4">
        <f t="shared" si="1"/>
        <v>10138.45</v>
      </c>
      <c r="K33" s="4">
        <f t="shared" si="2"/>
        <v>3</v>
      </c>
      <c r="L33" s="4" t="str">
        <f t="shared" si="3"/>
        <v>High Discount</v>
      </c>
    </row>
    <row r="34">
      <c r="A34" s="1">
        <v>1033.0</v>
      </c>
      <c r="B34" s="2">
        <v>45156.0</v>
      </c>
      <c r="C34" s="1" t="s">
        <v>19</v>
      </c>
      <c r="D34" s="1" t="s">
        <v>10</v>
      </c>
      <c r="E34" s="1" t="s">
        <v>22</v>
      </c>
      <c r="F34" s="1">
        <v>38696.0</v>
      </c>
      <c r="G34" s="1">
        <v>23838.94</v>
      </c>
      <c r="H34" s="1">
        <v>15.0</v>
      </c>
      <c r="I34" s="1" t="s">
        <v>14</v>
      </c>
      <c r="J34" s="4">
        <f t="shared" si="1"/>
        <v>14857.06</v>
      </c>
      <c r="K34" s="4">
        <f t="shared" si="2"/>
        <v>8</v>
      </c>
      <c r="L34" s="4" t="str">
        <f t="shared" si="3"/>
        <v>Low Discount</v>
      </c>
    </row>
    <row r="35">
      <c r="A35" s="1">
        <v>1034.0</v>
      </c>
      <c r="B35" s="2">
        <v>45516.0</v>
      </c>
      <c r="C35" s="1" t="s">
        <v>20</v>
      </c>
      <c r="D35" s="1" t="s">
        <v>10</v>
      </c>
      <c r="E35" s="1" t="s">
        <v>17</v>
      </c>
      <c r="F35" s="1">
        <v>31813.0</v>
      </c>
      <c r="G35" s="1">
        <v>26409.39</v>
      </c>
      <c r="H35" s="1">
        <v>0.0</v>
      </c>
      <c r="I35" s="1" t="s">
        <v>14</v>
      </c>
      <c r="J35" s="4">
        <f t="shared" si="1"/>
        <v>5403.61</v>
      </c>
      <c r="K35" s="4">
        <f t="shared" si="2"/>
        <v>8</v>
      </c>
      <c r="L35" s="4" t="str">
        <f t="shared" si="3"/>
        <v>Low Discount</v>
      </c>
    </row>
    <row r="36">
      <c r="A36" s="1">
        <v>1035.0</v>
      </c>
      <c r="B36" s="2">
        <v>45365.0</v>
      </c>
      <c r="C36" s="1" t="s">
        <v>21</v>
      </c>
      <c r="D36" s="1" t="s">
        <v>16</v>
      </c>
      <c r="E36" s="1" t="s">
        <v>17</v>
      </c>
      <c r="F36" s="1">
        <v>77959.0</v>
      </c>
      <c r="G36" s="1">
        <v>53492.69</v>
      </c>
      <c r="H36" s="1">
        <v>0.0</v>
      </c>
      <c r="I36" s="1" t="s">
        <v>14</v>
      </c>
      <c r="J36" s="4">
        <f t="shared" si="1"/>
        <v>24466.31</v>
      </c>
      <c r="K36" s="4">
        <f t="shared" si="2"/>
        <v>3</v>
      </c>
      <c r="L36" s="4" t="str">
        <f t="shared" si="3"/>
        <v>Low Discount</v>
      </c>
    </row>
    <row r="37">
      <c r="A37" s="1">
        <v>1036.0</v>
      </c>
      <c r="B37" s="2">
        <v>45267.0</v>
      </c>
      <c r="C37" s="1" t="s">
        <v>9</v>
      </c>
      <c r="D37" s="1" t="s">
        <v>10</v>
      </c>
      <c r="E37" s="1" t="s">
        <v>22</v>
      </c>
      <c r="F37" s="1">
        <v>71781.0</v>
      </c>
      <c r="G37" s="1">
        <v>54615.91</v>
      </c>
      <c r="H37" s="1">
        <v>5.0</v>
      </c>
      <c r="I37" s="1" t="s">
        <v>12</v>
      </c>
      <c r="J37" s="4">
        <f t="shared" si="1"/>
        <v>17165.09</v>
      </c>
      <c r="K37" s="4">
        <f t="shared" si="2"/>
        <v>12</v>
      </c>
      <c r="L37" s="4" t="str">
        <f t="shared" si="3"/>
        <v>Low Discount</v>
      </c>
    </row>
    <row r="38">
      <c r="A38" s="1">
        <v>1037.0</v>
      </c>
      <c r="B38" s="2">
        <v>45433.0</v>
      </c>
      <c r="C38" s="1" t="s">
        <v>19</v>
      </c>
      <c r="D38" s="1" t="s">
        <v>10</v>
      </c>
      <c r="E38" s="1" t="s">
        <v>22</v>
      </c>
      <c r="F38" s="1">
        <v>43960.0</v>
      </c>
      <c r="G38" s="1">
        <v>29813.28</v>
      </c>
      <c r="H38" s="1">
        <v>10.0</v>
      </c>
      <c r="I38" s="1" t="s">
        <v>12</v>
      </c>
      <c r="J38" s="4">
        <f t="shared" si="1"/>
        <v>14146.72</v>
      </c>
      <c r="K38" s="4">
        <f t="shared" si="2"/>
        <v>5</v>
      </c>
      <c r="L38" s="4" t="str">
        <f t="shared" si="3"/>
        <v>Low Discount</v>
      </c>
    </row>
    <row r="39">
      <c r="A39" s="1">
        <v>1038.0</v>
      </c>
      <c r="B39" s="2">
        <v>45561.0</v>
      </c>
      <c r="C39" s="1" t="s">
        <v>21</v>
      </c>
      <c r="D39" s="1" t="s">
        <v>16</v>
      </c>
      <c r="E39" s="1" t="s">
        <v>17</v>
      </c>
      <c r="F39" s="1">
        <v>23172.0</v>
      </c>
      <c r="G39" s="1">
        <v>17074.49</v>
      </c>
      <c r="H39" s="1">
        <v>15.0</v>
      </c>
      <c r="I39" s="1" t="s">
        <v>12</v>
      </c>
      <c r="J39" s="4">
        <f t="shared" si="1"/>
        <v>6097.51</v>
      </c>
      <c r="K39" s="4">
        <f t="shared" si="2"/>
        <v>9</v>
      </c>
      <c r="L39" s="4" t="str">
        <f t="shared" si="3"/>
        <v>Low Discount</v>
      </c>
    </row>
    <row r="40">
      <c r="A40" s="1">
        <v>1039.0</v>
      </c>
      <c r="B40" s="2">
        <v>45104.0</v>
      </c>
      <c r="C40" s="1" t="s">
        <v>19</v>
      </c>
      <c r="D40" s="1" t="s">
        <v>10</v>
      </c>
      <c r="E40" s="1" t="s">
        <v>22</v>
      </c>
      <c r="F40" s="1">
        <v>23603.0</v>
      </c>
      <c r="G40" s="1">
        <v>12604.21</v>
      </c>
      <c r="H40" s="1">
        <v>30.0</v>
      </c>
      <c r="I40" s="1" t="s">
        <v>14</v>
      </c>
      <c r="J40" s="4">
        <f t="shared" si="1"/>
        <v>10998.79</v>
      </c>
      <c r="K40" s="4">
        <f t="shared" si="2"/>
        <v>6</v>
      </c>
      <c r="L40" s="4" t="str">
        <f t="shared" si="3"/>
        <v>High Discount</v>
      </c>
    </row>
    <row r="41">
      <c r="A41" s="1">
        <v>1040.0</v>
      </c>
      <c r="B41" s="2">
        <v>45096.0</v>
      </c>
      <c r="C41" s="1" t="s">
        <v>9</v>
      </c>
      <c r="D41" s="1" t="s">
        <v>10</v>
      </c>
      <c r="E41" s="1" t="s">
        <v>11</v>
      </c>
      <c r="F41" s="1">
        <v>34619.0</v>
      </c>
      <c r="G41" s="1">
        <v>24419.66</v>
      </c>
      <c r="H41" s="1">
        <v>15.0</v>
      </c>
      <c r="I41" s="1" t="s">
        <v>12</v>
      </c>
      <c r="J41" s="4">
        <f t="shared" si="1"/>
        <v>10199.34</v>
      </c>
      <c r="K41" s="4">
        <f t="shared" si="2"/>
        <v>6</v>
      </c>
      <c r="L41" s="4" t="str">
        <f t="shared" si="3"/>
        <v>Low Discount</v>
      </c>
    </row>
    <row r="42">
      <c r="A42" s="1">
        <v>1041.0</v>
      </c>
      <c r="B42" s="2">
        <v>45339.0</v>
      </c>
      <c r="C42" s="1" t="s">
        <v>15</v>
      </c>
      <c r="D42" s="1" t="s">
        <v>16</v>
      </c>
      <c r="E42" s="1" t="s">
        <v>13</v>
      </c>
      <c r="F42" s="1">
        <v>29574.0</v>
      </c>
      <c r="G42" s="1">
        <v>16702.21</v>
      </c>
      <c r="H42" s="1">
        <v>30.0</v>
      </c>
      <c r="I42" s="1" t="s">
        <v>14</v>
      </c>
      <c r="J42" s="4">
        <f t="shared" si="1"/>
        <v>12871.79</v>
      </c>
      <c r="K42" s="4">
        <f t="shared" si="2"/>
        <v>2</v>
      </c>
      <c r="L42" s="4" t="str">
        <f t="shared" si="3"/>
        <v>High Discount</v>
      </c>
    </row>
    <row r="43">
      <c r="A43" s="1">
        <v>1042.0</v>
      </c>
      <c r="B43" s="2">
        <v>45509.0</v>
      </c>
      <c r="C43" s="1" t="s">
        <v>18</v>
      </c>
      <c r="D43" s="1" t="s">
        <v>16</v>
      </c>
      <c r="E43" s="1" t="s">
        <v>17</v>
      </c>
      <c r="F43" s="1">
        <v>50825.0</v>
      </c>
      <c r="G43" s="1">
        <v>38356.05</v>
      </c>
      <c r="H43" s="1">
        <v>15.0</v>
      </c>
      <c r="I43" s="1" t="s">
        <v>12</v>
      </c>
      <c r="J43" s="4">
        <f t="shared" si="1"/>
        <v>12468.95</v>
      </c>
      <c r="K43" s="4">
        <f t="shared" si="2"/>
        <v>8</v>
      </c>
      <c r="L43" s="4" t="str">
        <f t="shared" si="3"/>
        <v>Low Discount</v>
      </c>
    </row>
    <row r="44">
      <c r="A44" s="1">
        <v>1043.0</v>
      </c>
      <c r="B44" s="2">
        <v>45109.0</v>
      </c>
      <c r="C44" s="1" t="s">
        <v>18</v>
      </c>
      <c r="D44" s="1" t="s">
        <v>16</v>
      </c>
      <c r="E44" s="1" t="s">
        <v>13</v>
      </c>
      <c r="F44" s="1">
        <v>29904.0</v>
      </c>
      <c r="G44" s="1">
        <v>15214.64</v>
      </c>
      <c r="H44" s="1">
        <v>0.0</v>
      </c>
      <c r="I44" s="1" t="s">
        <v>12</v>
      </c>
      <c r="J44" s="4">
        <f t="shared" si="1"/>
        <v>14689.36</v>
      </c>
      <c r="K44" s="4">
        <f t="shared" si="2"/>
        <v>7</v>
      </c>
      <c r="L44" s="4" t="str">
        <f t="shared" si="3"/>
        <v>Low Discount</v>
      </c>
    </row>
    <row r="45">
      <c r="A45" s="1">
        <v>1044.0</v>
      </c>
      <c r="B45" s="2">
        <v>44942.0</v>
      </c>
      <c r="C45" s="1" t="s">
        <v>18</v>
      </c>
      <c r="D45" s="1" t="s">
        <v>16</v>
      </c>
      <c r="E45" s="1" t="s">
        <v>22</v>
      </c>
      <c r="F45" s="1">
        <v>13647.0</v>
      </c>
      <c r="G45" s="1">
        <v>11424.04</v>
      </c>
      <c r="H45" s="1">
        <v>30.0</v>
      </c>
      <c r="I45" s="1" t="s">
        <v>14</v>
      </c>
      <c r="J45" s="4">
        <f t="shared" si="1"/>
        <v>2222.96</v>
      </c>
      <c r="K45" s="4">
        <f t="shared" si="2"/>
        <v>1</v>
      </c>
      <c r="L45" s="4" t="str">
        <f t="shared" si="3"/>
        <v>High Discount</v>
      </c>
    </row>
    <row r="46">
      <c r="A46" s="1">
        <v>1045.0</v>
      </c>
      <c r="B46" s="2">
        <v>45299.0</v>
      </c>
      <c r="C46" s="1" t="s">
        <v>15</v>
      </c>
      <c r="D46" s="1" t="s">
        <v>16</v>
      </c>
      <c r="E46" s="1" t="s">
        <v>11</v>
      </c>
      <c r="F46" s="1">
        <v>21758.0</v>
      </c>
      <c r="G46" s="1">
        <v>17154.31</v>
      </c>
      <c r="H46" s="1">
        <v>5.0</v>
      </c>
      <c r="I46" s="1" t="s">
        <v>14</v>
      </c>
      <c r="J46" s="4">
        <f t="shared" si="1"/>
        <v>4603.69</v>
      </c>
      <c r="K46" s="4">
        <f t="shared" si="2"/>
        <v>1</v>
      </c>
      <c r="L46" s="4" t="str">
        <f t="shared" si="3"/>
        <v>Low Discount</v>
      </c>
    </row>
    <row r="47">
      <c r="A47" s="1">
        <v>1046.0</v>
      </c>
      <c r="B47" s="2">
        <v>45280.0</v>
      </c>
      <c r="C47" s="1" t="s">
        <v>19</v>
      </c>
      <c r="D47" s="1" t="s">
        <v>10</v>
      </c>
      <c r="E47" s="1" t="s">
        <v>13</v>
      </c>
      <c r="F47" s="1">
        <v>64761.0</v>
      </c>
      <c r="G47" s="1">
        <v>57367.1</v>
      </c>
      <c r="H47" s="1">
        <v>15.0</v>
      </c>
      <c r="I47" s="1" t="s">
        <v>12</v>
      </c>
      <c r="J47" s="4">
        <f t="shared" si="1"/>
        <v>7393.9</v>
      </c>
      <c r="K47" s="4">
        <f t="shared" si="2"/>
        <v>12</v>
      </c>
      <c r="L47" s="4" t="str">
        <f t="shared" si="3"/>
        <v>Low Discount</v>
      </c>
    </row>
    <row r="48">
      <c r="A48" s="1">
        <v>1047.0</v>
      </c>
      <c r="B48" s="2">
        <v>45084.0</v>
      </c>
      <c r="C48" s="1" t="s">
        <v>19</v>
      </c>
      <c r="D48" s="1" t="s">
        <v>10</v>
      </c>
      <c r="E48" s="1" t="s">
        <v>17</v>
      </c>
      <c r="F48" s="1">
        <v>8668.0</v>
      </c>
      <c r="G48" s="1">
        <v>4389.15</v>
      </c>
      <c r="H48" s="1">
        <v>40.0</v>
      </c>
      <c r="I48" s="1" t="s">
        <v>12</v>
      </c>
      <c r="J48" s="4">
        <f t="shared" si="1"/>
        <v>4278.85</v>
      </c>
      <c r="K48" s="4">
        <f t="shared" si="2"/>
        <v>6</v>
      </c>
      <c r="L48" s="4" t="str">
        <f t="shared" si="3"/>
        <v>High Discount</v>
      </c>
    </row>
    <row r="49">
      <c r="A49" s="1">
        <v>1048.0</v>
      </c>
      <c r="B49" s="2">
        <v>45034.0</v>
      </c>
      <c r="C49" s="1" t="s">
        <v>9</v>
      </c>
      <c r="D49" s="1" t="s">
        <v>10</v>
      </c>
      <c r="E49" s="1" t="s">
        <v>22</v>
      </c>
      <c r="F49" s="1">
        <v>77877.0</v>
      </c>
      <c r="G49" s="1">
        <v>56618.55</v>
      </c>
      <c r="H49" s="1">
        <v>5.0</v>
      </c>
      <c r="I49" s="1" t="s">
        <v>12</v>
      </c>
      <c r="J49" s="4">
        <f t="shared" si="1"/>
        <v>21258.45</v>
      </c>
      <c r="K49" s="4">
        <f t="shared" si="2"/>
        <v>4</v>
      </c>
      <c r="L49" s="4" t="str">
        <f t="shared" si="3"/>
        <v>Low Discount</v>
      </c>
    </row>
    <row r="50">
      <c r="A50" s="1">
        <v>1049.0</v>
      </c>
      <c r="B50" s="2">
        <v>45160.0</v>
      </c>
      <c r="C50" s="1" t="s">
        <v>19</v>
      </c>
      <c r="D50" s="1" t="s">
        <v>10</v>
      </c>
      <c r="E50" s="1" t="s">
        <v>13</v>
      </c>
      <c r="F50" s="1">
        <v>22964.0</v>
      </c>
      <c r="G50" s="1">
        <v>12721.82</v>
      </c>
      <c r="H50" s="1">
        <v>30.0</v>
      </c>
      <c r="I50" s="1" t="s">
        <v>12</v>
      </c>
      <c r="J50" s="4">
        <f t="shared" si="1"/>
        <v>10242.18</v>
      </c>
      <c r="K50" s="4">
        <f t="shared" si="2"/>
        <v>8</v>
      </c>
      <c r="L50" s="4" t="str">
        <f t="shared" si="3"/>
        <v>High Discount</v>
      </c>
    </row>
    <row r="51">
      <c r="A51" s="1">
        <v>1050.0</v>
      </c>
      <c r="B51" s="2">
        <v>45150.0</v>
      </c>
      <c r="C51" s="1" t="s">
        <v>19</v>
      </c>
      <c r="D51" s="1" t="s">
        <v>10</v>
      </c>
      <c r="E51" s="1" t="s">
        <v>22</v>
      </c>
      <c r="F51" s="1">
        <v>16287.0</v>
      </c>
      <c r="G51" s="1">
        <v>9158.21</v>
      </c>
      <c r="H51" s="1">
        <v>20.0</v>
      </c>
      <c r="I51" s="1" t="s">
        <v>14</v>
      </c>
      <c r="J51" s="4">
        <f t="shared" si="1"/>
        <v>7128.79</v>
      </c>
      <c r="K51" s="4">
        <f t="shared" si="2"/>
        <v>8</v>
      </c>
      <c r="L51" s="4" t="str">
        <f t="shared" si="3"/>
        <v>Low Discount</v>
      </c>
    </row>
    <row r="52">
      <c r="A52" s="1">
        <v>1051.0</v>
      </c>
      <c r="B52" s="2">
        <v>45321.0</v>
      </c>
      <c r="C52" s="1" t="s">
        <v>9</v>
      </c>
      <c r="D52" s="1" t="s">
        <v>10</v>
      </c>
      <c r="E52" s="1" t="s">
        <v>17</v>
      </c>
      <c r="F52" s="1">
        <v>16122.0</v>
      </c>
      <c r="G52" s="1">
        <v>9109.74</v>
      </c>
      <c r="H52" s="1">
        <v>5.0</v>
      </c>
      <c r="I52" s="1" t="s">
        <v>12</v>
      </c>
      <c r="J52" s="4">
        <f t="shared" si="1"/>
        <v>7012.26</v>
      </c>
      <c r="K52" s="4">
        <f t="shared" si="2"/>
        <v>1</v>
      </c>
      <c r="L52" s="4" t="str">
        <f t="shared" si="3"/>
        <v>Low Discount</v>
      </c>
    </row>
    <row r="53">
      <c r="A53" s="1">
        <v>1052.0</v>
      </c>
      <c r="B53" s="2">
        <v>45035.0</v>
      </c>
      <c r="C53" s="1" t="s">
        <v>9</v>
      </c>
      <c r="D53" s="1" t="s">
        <v>10</v>
      </c>
      <c r="E53" s="1" t="s">
        <v>13</v>
      </c>
      <c r="F53" s="1">
        <v>42723.0</v>
      </c>
      <c r="G53" s="1">
        <v>25457.73</v>
      </c>
      <c r="H53" s="1">
        <v>20.0</v>
      </c>
      <c r="I53" s="1" t="s">
        <v>12</v>
      </c>
      <c r="J53" s="4">
        <f t="shared" si="1"/>
        <v>17265.27</v>
      </c>
      <c r="K53" s="4">
        <f t="shared" si="2"/>
        <v>4</v>
      </c>
      <c r="L53" s="4" t="str">
        <f t="shared" si="3"/>
        <v>Low Discount</v>
      </c>
    </row>
    <row r="54">
      <c r="A54" s="1">
        <v>1053.0</v>
      </c>
      <c r="B54" s="2">
        <v>45365.0</v>
      </c>
      <c r="C54" s="1" t="s">
        <v>19</v>
      </c>
      <c r="D54" s="1" t="s">
        <v>10</v>
      </c>
      <c r="E54" s="1" t="s">
        <v>11</v>
      </c>
      <c r="F54" s="1">
        <v>18602.0</v>
      </c>
      <c r="G54" s="1">
        <v>14385.9</v>
      </c>
      <c r="H54" s="1">
        <v>20.0</v>
      </c>
      <c r="I54" s="1" t="s">
        <v>12</v>
      </c>
      <c r="J54" s="4">
        <f t="shared" si="1"/>
        <v>4216.1</v>
      </c>
      <c r="K54" s="4">
        <f t="shared" si="2"/>
        <v>3</v>
      </c>
      <c r="L54" s="4" t="str">
        <f t="shared" si="3"/>
        <v>Low Discount</v>
      </c>
    </row>
    <row r="55">
      <c r="A55" s="1">
        <v>1054.0</v>
      </c>
      <c r="B55" s="2">
        <v>44986.0</v>
      </c>
      <c r="C55" s="1" t="s">
        <v>20</v>
      </c>
      <c r="D55" s="1" t="s">
        <v>10</v>
      </c>
      <c r="E55" s="1" t="s">
        <v>13</v>
      </c>
      <c r="F55" s="1">
        <v>54852.0</v>
      </c>
      <c r="G55" s="1">
        <v>43538.04</v>
      </c>
      <c r="H55" s="1">
        <v>0.0</v>
      </c>
      <c r="I55" s="1" t="s">
        <v>14</v>
      </c>
      <c r="J55" s="4">
        <f t="shared" si="1"/>
        <v>11313.96</v>
      </c>
      <c r="K55" s="4">
        <f t="shared" si="2"/>
        <v>3</v>
      </c>
      <c r="L55" s="4" t="str">
        <f t="shared" si="3"/>
        <v>Low Discount</v>
      </c>
    </row>
    <row r="56">
      <c r="A56" s="1">
        <v>1055.0</v>
      </c>
      <c r="B56" s="2">
        <v>44948.0</v>
      </c>
      <c r="C56" s="1" t="s">
        <v>19</v>
      </c>
      <c r="D56" s="1" t="s">
        <v>10</v>
      </c>
      <c r="E56" s="1" t="s">
        <v>22</v>
      </c>
      <c r="F56" s="1">
        <v>50434.0</v>
      </c>
      <c r="G56" s="1">
        <v>32339.09</v>
      </c>
      <c r="H56" s="1">
        <v>30.0</v>
      </c>
      <c r="I56" s="1" t="s">
        <v>12</v>
      </c>
      <c r="J56" s="4">
        <f t="shared" si="1"/>
        <v>18094.91</v>
      </c>
      <c r="K56" s="4">
        <f t="shared" si="2"/>
        <v>1</v>
      </c>
      <c r="L56" s="4" t="str">
        <f t="shared" si="3"/>
        <v>High Discount</v>
      </c>
    </row>
    <row r="57">
      <c r="A57" s="1">
        <v>1056.0</v>
      </c>
      <c r="B57" s="2">
        <v>45236.0</v>
      </c>
      <c r="C57" s="1" t="s">
        <v>15</v>
      </c>
      <c r="D57" s="1" t="s">
        <v>16</v>
      </c>
      <c r="E57" s="1" t="s">
        <v>22</v>
      </c>
      <c r="F57" s="1">
        <v>62942.0</v>
      </c>
      <c r="G57" s="4">
        <v>14819.37</v>
      </c>
      <c r="H57" s="1">
        <v>20.0</v>
      </c>
      <c r="I57" s="1" t="s">
        <v>14</v>
      </c>
      <c r="J57" s="4">
        <f t="shared" si="1"/>
        <v>48122.63</v>
      </c>
      <c r="K57" s="4">
        <f t="shared" si="2"/>
        <v>11</v>
      </c>
      <c r="L57" s="4" t="str">
        <f t="shared" si="3"/>
        <v>Low Discount</v>
      </c>
    </row>
    <row r="58">
      <c r="A58" s="1">
        <v>1057.0</v>
      </c>
      <c r="B58" s="2">
        <v>44990.0</v>
      </c>
      <c r="C58" s="1" t="s">
        <v>21</v>
      </c>
      <c r="D58" s="1" t="s">
        <v>16</v>
      </c>
      <c r="E58" s="1" t="s">
        <v>22</v>
      </c>
      <c r="F58" s="1">
        <v>46915.0</v>
      </c>
      <c r="G58" s="1">
        <v>31779.24</v>
      </c>
      <c r="H58" s="1">
        <v>5.0</v>
      </c>
      <c r="I58" s="1" t="s">
        <v>12</v>
      </c>
      <c r="J58" s="4">
        <f t="shared" si="1"/>
        <v>15135.76</v>
      </c>
      <c r="K58" s="4">
        <f t="shared" si="2"/>
        <v>3</v>
      </c>
      <c r="L58" s="4" t="str">
        <f t="shared" si="3"/>
        <v>Low Discount</v>
      </c>
    </row>
    <row r="59">
      <c r="A59" s="1">
        <v>1058.0</v>
      </c>
      <c r="B59" s="2">
        <v>45572.0</v>
      </c>
      <c r="C59" s="1" t="s">
        <v>15</v>
      </c>
      <c r="D59" s="1" t="s">
        <v>16</v>
      </c>
      <c r="E59" s="1" t="s">
        <v>17</v>
      </c>
      <c r="F59" s="1">
        <v>70835.0</v>
      </c>
      <c r="G59" s="1">
        <v>51358.91</v>
      </c>
      <c r="H59" s="1">
        <v>0.0</v>
      </c>
      <c r="I59" s="1" t="s">
        <v>12</v>
      </c>
      <c r="J59" s="4">
        <f t="shared" si="1"/>
        <v>19476.09</v>
      </c>
      <c r="K59" s="4">
        <f t="shared" si="2"/>
        <v>10</v>
      </c>
      <c r="L59" s="4" t="str">
        <f t="shared" si="3"/>
        <v>Low Discount</v>
      </c>
    </row>
    <row r="60">
      <c r="A60" s="1">
        <v>1059.0</v>
      </c>
      <c r="B60" s="2">
        <v>44980.0</v>
      </c>
      <c r="C60" s="1" t="s">
        <v>19</v>
      </c>
      <c r="D60" s="1" t="s">
        <v>10</v>
      </c>
      <c r="E60" s="1" t="s">
        <v>11</v>
      </c>
      <c r="F60" s="1">
        <v>46927.0</v>
      </c>
      <c r="G60" s="1">
        <v>40099.22</v>
      </c>
      <c r="H60" s="1">
        <v>5.0</v>
      </c>
      <c r="I60" s="1" t="s">
        <v>14</v>
      </c>
      <c r="J60" s="4">
        <f t="shared" si="1"/>
        <v>6827.78</v>
      </c>
      <c r="K60" s="4">
        <f t="shared" si="2"/>
        <v>2</v>
      </c>
      <c r="L60" s="4" t="str">
        <f t="shared" si="3"/>
        <v>Low Discount</v>
      </c>
    </row>
    <row r="61">
      <c r="A61" s="1">
        <v>1060.0</v>
      </c>
      <c r="B61" s="2">
        <v>45306.0</v>
      </c>
      <c r="C61" s="1" t="s">
        <v>18</v>
      </c>
      <c r="D61" s="1" t="s">
        <v>16</v>
      </c>
      <c r="E61" s="1" t="s">
        <v>13</v>
      </c>
      <c r="F61" s="1">
        <v>20639.0</v>
      </c>
      <c r="G61" s="1">
        <v>16773.91</v>
      </c>
      <c r="H61" s="1">
        <v>20.0</v>
      </c>
      <c r="I61" s="1" t="s">
        <v>14</v>
      </c>
      <c r="J61" s="4">
        <f t="shared" si="1"/>
        <v>3865.09</v>
      </c>
      <c r="K61" s="4">
        <f t="shared" si="2"/>
        <v>1</v>
      </c>
      <c r="L61" s="4" t="str">
        <f t="shared" si="3"/>
        <v>Low Discount</v>
      </c>
    </row>
    <row r="62">
      <c r="A62" s="1">
        <v>1061.0</v>
      </c>
      <c r="B62" s="2">
        <v>45241.0</v>
      </c>
      <c r="C62" s="1" t="s">
        <v>15</v>
      </c>
      <c r="D62" s="1" t="s">
        <v>16</v>
      </c>
      <c r="E62" s="1" t="s">
        <v>17</v>
      </c>
      <c r="F62" s="1">
        <v>62654.0</v>
      </c>
      <c r="G62" s="1">
        <v>54659.04</v>
      </c>
      <c r="H62" s="1">
        <v>10.0</v>
      </c>
      <c r="I62" s="1" t="s">
        <v>12</v>
      </c>
      <c r="J62" s="4">
        <f t="shared" si="1"/>
        <v>7994.96</v>
      </c>
      <c r="K62" s="4">
        <f t="shared" si="2"/>
        <v>11</v>
      </c>
      <c r="L62" s="4" t="str">
        <f t="shared" si="3"/>
        <v>Low Discount</v>
      </c>
    </row>
    <row r="63">
      <c r="A63" s="1">
        <v>1062.0</v>
      </c>
      <c r="B63" s="2">
        <v>45187.0</v>
      </c>
      <c r="C63" s="1" t="s">
        <v>21</v>
      </c>
      <c r="D63" s="1" t="s">
        <v>16</v>
      </c>
      <c r="E63" s="1" t="s">
        <v>22</v>
      </c>
      <c r="F63" s="1">
        <v>65512.0</v>
      </c>
      <c r="G63" s="1">
        <v>46226.38</v>
      </c>
      <c r="H63" s="1">
        <v>20.0</v>
      </c>
      <c r="I63" s="1" t="s">
        <v>14</v>
      </c>
      <c r="J63" s="4">
        <f t="shared" si="1"/>
        <v>19285.62</v>
      </c>
      <c r="K63" s="4">
        <f t="shared" si="2"/>
        <v>9</v>
      </c>
      <c r="L63" s="4" t="str">
        <f t="shared" si="3"/>
        <v>Low Discount</v>
      </c>
    </row>
    <row r="64">
      <c r="A64" s="1">
        <v>1063.0</v>
      </c>
      <c r="B64" s="2">
        <v>44991.0</v>
      </c>
      <c r="C64" s="1" t="s">
        <v>21</v>
      </c>
      <c r="D64" s="1" t="s">
        <v>16</v>
      </c>
      <c r="E64" s="1" t="s">
        <v>11</v>
      </c>
      <c r="F64" s="1">
        <v>61735.0</v>
      </c>
      <c r="G64" s="1">
        <v>44473.22</v>
      </c>
      <c r="H64" s="1">
        <v>0.0</v>
      </c>
      <c r="I64" s="1" t="s">
        <v>14</v>
      </c>
      <c r="J64" s="4">
        <f t="shared" si="1"/>
        <v>17261.78</v>
      </c>
      <c r="K64" s="4">
        <f t="shared" si="2"/>
        <v>3</v>
      </c>
      <c r="L64" s="4" t="str">
        <f t="shared" si="3"/>
        <v>Low Discount</v>
      </c>
    </row>
    <row r="65">
      <c r="A65" s="1">
        <v>1064.0</v>
      </c>
      <c r="B65" s="2">
        <v>45451.0</v>
      </c>
      <c r="C65" s="1" t="s">
        <v>21</v>
      </c>
      <c r="D65" s="1" t="s">
        <v>16</v>
      </c>
      <c r="E65" s="1" t="s">
        <v>13</v>
      </c>
      <c r="F65" s="1">
        <v>51599.0</v>
      </c>
      <c r="G65" s="1">
        <v>29594.24</v>
      </c>
      <c r="H65" s="1">
        <v>0.0</v>
      </c>
      <c r="I65" s="1" t="s">
        <v>14</v>
      </c>
      <c r="J65" s="4">
        <f t="shared" si="1"/>
        <v>22004.76</v>
      </c>
      <c r="K65" s="4">
        <f t="shared" si="2"/>
        <v>6</v>
      </c>
      <c r="L65" s="4" t="str">
        <f t="shared" si="3"/>
        <v>Low Discount</v>
      </c>
    </row>
    <row r="66">
      <c r="A66" s="1">
        <v>1065.0</v>
      </c>
      <c r="B66" s="2">
        <v>45579.0</v>
      </c>
      <c r="C66" s="1" t="s">
        <v>21</v>
      </c>
      <c r="D66" s="1" t="s">
        <v>16</v>
      </c>
      <c r="E66" s="1" t="s">
        <v>13</v>
      </c>
      <c r="F66" s="1">
        <v>45161.0</v>
      </c>
      <c r="G66" s="1">
        <v>25262.03</v>
      </c>
      <c r="H66" s="1">
        <v>30.0</v>
      </c>
      <c r="I66" s="1" t="s">
        <v>14</v>
      </c>
      <c r="J66" s="4">
        <f t="shared" si="1"/>
        <v>19898.97</v>
      </c>
      <c r="K66" s="4">
        <f t="shared" si="2"/>
        <v>10</v>
      </c>
      <c r="L66" s="4" t="str">
        <f t="shared" si="3"/>
        <v>High Discount</v>
      </c>
    </row>
    <row r="67">
      <c r="A67" s="1">
        <v>1066.0</v>
      </c>
      <c r="B67" s="2">
        <v>45446.0</v>
      </c>
      <c r="C67" s="1" t="s">
        <v>18</v>
      </c>
      <c r="D67" s="1" t="s">
        <v>16</v>
      </c>
      <c r="E67" s="1" t="s">
        <v>22</v>
      </c>
      <c r="F67" s="4">
        <f>AVERAGE(F2,F201)</f>
        <v>19641</v>
      </c>
      <c r="G67" s="1">
        <v>28341.99</v>
      </c>
      <c r="H67" s="1">
        <v>10.0</v>
      </c>
      <c r="I67" s="1" t="s">
        <v>14</v>
      </c>
      <c r="J67" s="4">
        <f t="shared" si="1"/>
        <v>-8700.99</v>
      </c>
      <c r="K67" s="4">
        <f t="shared" si="2"/>
        <v>6</v>
      </c>
      <c r="L67" s="4" t="str">
        <f t="shared" si="3"/>
        <v>Low Discount</v>
      </c>
    </row>
    <row r="68">
      <c r="A68" s="1">
        <v>1067.0</v>
      </c>
      <c r="B68" s="2">
        <v>45436.0</v>
      </c>
      <c r="C68" s="1" t="s">
        <v>21</v>
      </c>
      <c r="D68" s="1" t="s">
        <v>16</v>
      </c>
      <c r="E68" s="1" t="s">
        <v>11</v>
      </c>
      <c r="F68" s="1">
        <v>7480.0</v>
      </c>
      <c r="G68" s="1">
        <v>6720.39</v>
      </c>
      <c r="H68" s="1">
        <v>20.0</v>
      </c>
      <c r="I68" s="1" t="s">
        <v>12</v>
      </c>
      <c r="J68" s="4">
        <f t="shared" si="1"/>
        <v>759.61</v>
      </c>
      <c r="K68" s="4">
        <f t="shared" si="2"/>
        <v>5</v>
      </c>
      <c r="L68" s="4" t="str">
        <f t="shared" si="3"/>
        <v>Low Discount</v>
      </c>
    </row>
    <row r="69">
      <c r="A69" s="1">
        <v>1068.0</v>
      </c>
      <c r="B69" s="2">
        <v>45561.0</v>
      </c>
      <c r="C69" s="1" t="s">
        <v>9</v>
      </c>
      <c r="D69" s="1" t="s">
        <v>10</v>
      </c>
      <c r="E69" s="1" t="s">
        <v>11</v>
      </c>
      <c r="F69" s="1">
        <v>14506.0</v>
      </c>
      <c r="G69" s="1">
        <v>10071.23</v>
      </c>
      <c r="H69" s="1">
        <v>40.0</v>
      </c>
      <c r="I69" s="1" t="s">
        <v>12</v>
      </c>
      <c r="J69" s="4">
        <f t="shared" si="1"/>
        <v>4434.77</v>
      </c>
      <c r="K69" s="4">
        <f t="shared" si="2"/>
        <v>9</v>
      </c>
      <c r="L69" s="4" t="str">
        <f t="shared" si="3"/>
        <v>High Discount</v>
      </c>
    </row>
    <row r="70">
      <c r="A70" s="1">
        <v>1069.0</v>
      </c>
      <c r="B70" s="2">
        <v>45374.0</v>
      </c>
      <c r="C70" s="1" t="s">
        <v>18</v>
      </c>
      <c r="D70" s="1" t="s">
        <v>16</v>
      </c>
      <c r="E70" s="1" t="s">
        <v>17</v>
      </c>
      <c r="F70" s="1">
        <v>44421.0</v>
      </c>
      <c r="G70" s="1">
        <v>28294.06</v>
      </c>
      <c r="H70" s="1">
        <v>15.0</v>
      </c>
      <c r="I70" s="1" t="s">
        <v>14</v>
      </c>
      <c r="J70" s="4">
        <f t="shared" si="1"/>
        <v>16126.94</v>
      </c>
      <c r="K70" s="4">
        <f t="shared" si="2"/>
        <v>3</v>
      </c>
      <c r="L70" s="4" t="str">
        <f t="shared" si="3"/>
        <v>Low Discount</v>
      </c>
    </row>
    <row r="71">
      <c r="A71" s="1">
        <v>1070.0</v>
      </c>
      <c r="B71" s="2">
        <v>45441.0</v>
      </c>
      <c r="C71" s="1" t="s">
        <v>20</v>
      </c>
      <c r="D71" s="1" t="s">
        <v>10</v>
      </c>
      <c r="E71" s="1" t="s">
        <v>11</v>
      </c>
      <c r="F71" s="1">
        <v>29619.0</v>
      </c>
      <c r="G71" s="1">
        <v>19945.28</v>
      </c>
      <c r="H71" s="1">
        <v>40.0</v>
      </c>
      <c r="I71" s="1" t="s">
        <v>14</v>
      </c>
      <c r="J71" s="4">
        <f t="shared" si="1"/>
        <v>9673.72</v>
      </c>
      <c r="K71" s="4">
        <f t="shared" si="2"/>
        <v>5</v>
      </c>
      <c r="L71" s="4" t="str">
        <f t="shared" si="3"/>
        <v>High Discount</v>
      </c>
    </row>
    <row r="72">
      <c r="A72" s="1">
        <v>1071.0</v>
      </c>
      <c r="B72" s="2">
        <v>45514.0</v>
      </c>
      <c r="C72" s="1" t="s">
        <v>15</v>
      </c>
      <c r="D72" s="1" t="s">
        <v>16</v>
      </c>
      <c r="E72" s="1" t="s">
        <v>13</v>
      </c>
      <c r="F72" s="1">
        <v>10756.0</v>
      </c>
      <c r="G72" s="1">
        <v>6817.45</v>
      </c>
      <c r="H72" s="1">
        <v>10.0</v>
      </c>
      <c r="I72" s="1" t="s">
        <v>14</v>
      </c>
      <c r="J72" s="4">
        <f t="shared" si="1"/>
        <v>3938.55</v>
      </c>
      <c r="K72" s="4">
        <f t="shared" si="2"/>
        <v>8</v>
      </c>
      <c r="L72" s="4" t="str">
        <f t="shared" si="3"/>
        <v>Low Discount</v>
      </c>
    </row>
    <row r="73">
      <c r="A73" s="1">
        <v>1072.0</v>
      </c>
      <c r="B73" s="2">
        <v>45032.0</v>
      </c>
      <c r="C73" s="1" t="s">
        <v>20</v>
      </c>
      <c r="D73" s="1" t="s">
        <v>10</v>
      </c>
      <c r="E73" s="1" t="s">
        <v>11</v>
      </c>
      <c r="F73" s="1">
        <v>53372.0</v>
      </c>
      <c r="G73" s="1">
        <v>27824.48</v>
      </c>
      <c r="H73" s="1">
        <v>20.0</v>
      </c>
      <c r="I73" s="1" t="s">
        <v>12</v>
      </c>
      <c r="J73" s="4">
        <f t="shared" si="1"/>
        <v>25547.52</v>
      </c>
      <c r="K73" s="4">
        <f t="shared" si="2"/>
        <v>4</v>
      </c>
      <c r="L73" s="4" t="str">
        <f t="shared" si="3"/>
        <v>Low Discount</v>
      </c>
    </row>
    <row r="74">
      <c r="A74" s="1">
        <v>1073.0</v>
      </c>
      <c r="B74" s="2">
        <v>45280.0</v>
      </c>
      <c r="C74" s="1" t="s">
        <v>20</v>
      </c>
      <c r="D74" s="1" t="s">
        <v>10</v>
      </c>
      <c r="E74" s="1" t="s">
        <v>22</v>
      </c>
      <c r="F74" s="1">
        <v>55336.0</v>
      </c>
      <c r="G74" s="1">
        <v>37839.5</v>
      </c>
      <c r="H74" s="1">
        <v>15.0</v>
      </c>
      <c r="I74" s="1" t="s">
        <v>14</v>
      </c>
      <c r="J74" s="4">
        <f t="shared" si="1"/>
        <v>17496.5</v>
      </c>
      <c r="K74" s="4">
        <f t="shared" si="2"/>
        <v>12</v>
      </c>
      <c r="L74" s="4" t="str">
        <f t="shared" si="3"/>
        <v>Low Discount</v>
      </c>
    </row>
    <row r="75">
      <c r="A75" s="1">
        <v>1074.0</v>
      </c>
      <c r="B75" s="2">
        <v>45491.0</v>
      </c>
      <c r="C75" s="1" t="s">
        <v>20</v>
      </c>
      <c r="D75" s="1" t="s">
        <v>10</v>
      </c>
      <c r="E75" s="1" t="s">
        <v>13</v>
      </c>
      <c r="F75" s="1">
        <v>69392.0</v>
      </c>
      <c r="G75" s="1">
        <v>48916.66</v>
      </c>
      <c r="H75" s="1">
        <v>40.0</v>
      </c>
      <c r="I75" s="1" t="s">
        <v>14</v>
      </c>
      <c r="J75" s="4">
        <f t="shared" si="1"/>
        <v>20475.34</v>
      </c>
      <c r="K75" s="4">
        <f t="shared" si="2"/>
        <v>7</v>
      </c>
      <c r="L75" s="4" t="str">
        <f t="shared" si="3"/>
        <v>High Discount</v>
      </c>
    </row>
    <row r="76">
      <c r="A76" s="1">
        <v>1075.0</v>
      </c>
      <c r="B76" s="2">
        <v>45383.0</v>
      </c>
      <c r="C76" s="1" t="s">
        <v>19</v>
      </c>
      <c r="D76" s="1" t="s">
        <v>10</v>
      </c>
      <c r="E76" s="1" t="s">
        <v>22</v>
      </c>
      <c r="F76" s="1">
        <v>52435.0</v>
      </c>
      <c r="G76" s="1">
        <v>38228.9</v>
      </c>
      <c r="H76" s="1">
        <v>10.0</v>
      </c>
      <c r="I76" s="1" t="s">
        <v>12</v>
      </c>
      <c r="J76" s="4">
        <f t="shared" si="1"/>
        <v>14206.1</v>
      </c>
      <c r="K76" s="4">
        <f t="shared" si="2"/>
        <v>4</v>
      </c>
      <c r="L76" s="4" t="str">
        <f t="shared" si="3"/>
        <v>Low Discount</v>
      </c>
    </row>
    <row r="77">
      <c r="A77" s="1">
        <v>1076.0</v>
      </c>
      <c r="B77" s="2">
        <v>45064.0</v>
      </c>
      <c r="C77" s="1" t="s">
        <v>19</v>
      </c>
      <c r="D77" s="1" t="s">
        <v>10</v>
      </c>
      <c r="E77" s="1" t="s">
        <v>13</v>
      </c>
      <c r="F77" s="1">
        <v>40764.0</v>
      </c>
      <c r="G77" s="1">
        <v>32485.33</v>
      </c>
      <c r="H77" s="1">
        <v>0.0</v>
      </c>
      <c r="I77" s="1" t="s">
        <v>14</v>
      </c>
      <c r="J77" s="4">
        <f t="shared" si="1"/>
        <v>8278.67</v>
      </c>
      <c r="K77" s="4">
        <f t="shared" si="2"/>
        <v>5</v>
      </c>
      <c r="L77" s="4" t="str">
        <f t="shared" si="3"/>
        <v>Low Discount</v>
      </c>
    </row>
    <row r="78">
      <c r="A78" s="1">
        <v>1077.0</v>
      </c>
      <c r="B78" s="2">
        <v>45544.0</v>
      </c>
      <c r="C78" s="1" t="s">
        <v>20</v>
      </c>
      <c r="D78" s="1" t="s">
        <v>10</v>
      </c>
      <c r="E78" s="1" t="s">
        <v>11</v>
      </c>
      <c r="F78" s="1">
        <v>19784.0</v>
      </c>
      <c r="G78" s="1">
        <v>10861.87</v>
      </c>
      <c r="H78" s="1">
        <v>40.0</v>
      </c>
      <c r="I78" s="1" t="s">
        <v>12</v>
      </c>
      <c r="J78" s="4">
        <f t="shared" si="1"/>
        <v>8922.13</v>
      </c>
      <c r="K78" s="4">
        <f t="shared" si="2"/>
        <v>9</v>
      </c>
      <c r="L78" s="4" t="str">
        <f t="shared" si="3"/>
        <v>High Discount</v>
      </c>
    </row>
    <row r="79">
      <c r="A79" s="1">
        <v>1078.0</v>
      </c>
      <c r="B79" s="2">
        <v>45467.0</v>
      </c>
      <c r="C79" s="1" t="s">
        <v>19</v>
      </c>
      <c r="D79" s="1" t="s">
        <v>10</v>
      </c>
      <c r="E79" s="1" t="s">
        <v>11</v>
      </c>
      <c r="F79" s="1">
        <v>70661.0</v>
      </c>
      <c r="G79" s="1">
        <v>61087.41</v>
      </c>
      <c r="H79" s="1">
        <v>5.0</v>
      </c>
      <c r="I79" s="1" t="s">
        <v>14</v>
      </c>
      <c r="J79" s="4">
        <f t="shared" si="1"/>
        <v>9573.59</v>
      </c>
      <c r="K79" s="4">
        <f t="shared" si="2"/>
        <v>6</v>
      </c>
      <c r="L79" s="4" t="str">
        <f t="shared" si="3"/>
        <v>Low Discount</v>
      </c>
    </row>
    <row r="80">
      <c r="A80" s="1">
        <v>1079.0</v>
      </c>
      <c r="B80" s="2">
        <v>45252.0</v>
      </c>
      <c r="C80" s="1" t="s">
        <v>15</v>
      </c>
      <c r="D80" s="1" t="s">
        <v>16</v>
      </c>
      <c r="E80" s="1" t="s">
        <v>17</v>
      </c>
      <c r="F80" s="1">
        <v>75137.0</v>
      </c>
      <c r="G80" s="1">
        <v>67611.05</v>
      </c>
      <c r="H80" s="1">
        <v>10.0</v>
      </c>
      <c r="I80" s="1" t="s">
        <v>14</v>
      </c>
      <c r="J80" s="4">
        <f t="shared" si="1"/>
        <v>7525.95</v>
      </c>
      <c r="K80" s="4">
        <f t="shared" si="2"/>
        <v>11</v>
      </c>
      <c r="L80" s="4" t="str">
        <f t="shared" si="3"/>
        <v>Low Discount</v>
      </c>
    </row>
    <row r="81">
      <c r="A81" s="1">
        <v>1080.0</v>
      </c>
      <c r="B81" s="2">
        <v>45273.0</v>
      </c>
      <c r="C81" s="1" t="s">
        <v>18</v>
      </c>
      <c r="D81" s="1" t="s">
        <v>16</v>
      </c>
      <c r="E81" s="1" t="s">
        <v>22</v>
      </c>
      <c r="F81" s="1">
        <v>14881.0</v>
      </c>
      <c r="G81" s="1">
        <v>11003.29</v>
      </c>
      <c r="H81" s="1">
        <v>40.0</v>
      </c>
      <c r="I81" s="1" t="s">
        <v>12</v>
      </c>
      <c r="J81" s="4">
        <f t="shared" si="1"/>
        <v>3877.71</v>
      </c>
      <c r="K81" s="4">
        <f t="shared" si="2"/>
        <v>12</v>
      </c>
      <c r="L81" s="4" t="str">
        <f t="shared" si="3"/>
        <v>High Discount</v>
      </c>
    </row>
    <row r="82">
      <c r="A82" s="1">
        <v>1081.0</v>
      </c>
      <c r="B82" s="2">
        <v>45592.0</v>
      </c>
      <c r="C82" s="1" t="s">
        <v>18</v>
      </c>
      <c r="D82" s="1" t="s">
        <v>16</v>
      </c>
      <c r="E82" s="1" t="s">
        <v>22</v>
      </c>
      <c r="F82" s="1">
        <v>10589.0</v>
      </c>
      <c r="G82" s="1">
        <v>7450.7</v>
      </c>
      <c r="H82" s="1">
        <v>10.0</v>
      </c>
      <c r="I82" s="1" t="s">
        <v>14</v>
      </c>
      <c r="J82" s="4">
        <f t="shared" si="1"/>
        <v>3138.3</v>
      </c>
      <c r="K82" s="4">
        <f t="shared" si="2"/>
        <v>10</v>
      </c>
      <c r="L82" s="4" t="str">
        <f t="shared" si="3"/>
        <v>Low Discount</v>
      </c>
    </row>
    <row r="83">
      <c r="A83" s="1">
        <v>1082.0</v>
      </c>
      <c r="B83" s="2">
        <v>45398.0</v>
      </c>
      <c r="C83" s="1" t="s">
        <v>21</v>
      </c>
      <c r="D83" s="1" t="s">
        <v>16</v>
      </c>
      <c r="E83" s="1" t="s">
        <v>22</v>
      </c>
      <c r="F83" s="1">
        <v>43198.0</v>
      </c>
      <c r="G83" s="1">
        <v>23158.03</v>
      </c>
      <c r="H83" s="1">
        <v>15.0</v>
      </c>
      <c r="I83" s="1" t="s">
        <v>12</v>
      </c>
      <c r="J83" s="4">
        <f t="shared" si="1"/>
        <v>20039.97</v>
      </c>
      <c r="K83" s="4">
        <f t="shared" si="2"/>
        <v>4</v>
      </c>
      <c r="L83" s="4" t="str">
        <f t="shared" si="3"/>
        <v>Low Discount</v>
      </c>
    </row>
    <row r="84">
      <c r="A84" s="1">
        <v>1083.0</v>
      </c>
      <c r="B84" s="2">
        <v>45059.0</v>
      </c>
      <c r="C84" s="1" t="s">
        <v>15</v>
      </c>
      <c r="D84" s="1" t="s">
        <v>16</v>
      </c>
      <c r="E84" s="1" t="s">
        <v>22</v>
      </c>
      <c r="F84" s="1">
        <v>22671.0</v>
      </c>
      <c r="G84" s="1">
        <v>14429.29</v>
      </c>
      <c r="H84" s="1">
        <v>0.0</v>
      </c>
      <c r="I84" s="1" t="s">
        <v>12</v>
      </c>
      <c r="J84" s="4">
        <f t="shared" si="1"/>
        <v>8241.71</v>
      </c>
      <c r="K84" s="4">
        <f t="shared" si="2"/>
        <v>5</v>
      </c>
      <c r="L84" s="4" t="str">
        <f t="shared" si="3"/>
        <v>Low Discount</v>
      </c>
    </row>
    <row r="85">
      <c r="A85" s="1">
        <v>1084.0</v>
      </c>
      <c r="B85" s="2">
        <v>45392.0</v>
      </c>
      <c r="C85" s="1" t="s">
        <v>21</v>
      </c>
      <c r="D85" s="1" t="s">
        <v>16</v>
      </c>
      <c r="E85" s="1" t="s">
        <v>11</v>
      </c>
      <c r="F85" s="1">
        <v>30613.0</v>
      </c>
      <c r="G85" s="1">
        <v>18636.14</v>
      </c>
      <c r="H85" s="1">
        <v>5.0</v>
      </c>
      <c r="I85" s="1" t="s">
        <v>12</v>
      </c>
      <c r="J85" s="4">
        <f t="shared" si="1"/>
        <v>11976.86</v>
      </c>
      <c r="K85" s="4">
        <f t="shared" si="2"/>
        <v>4</v>
      </c>
      <c r="L85" s="4" t="str">
        <f t="shared" si="3"/>
        <v>Low Discount</v>
      </c>
    </row>
    <row r="86">
      <c r="A86" s="1">
        <v>1085.0</v>
      </c>
      <c r="B86" s="2">
        <v>45605.0</v>
      </c>
      <c r="C86" s="1" t="s">
        <v>9</v>
      </c>
      <c r="D86" s="1" t="s">
        <v>10</v>
      </c>
      <c r="E86" s="1" t="s">
        <v>22</v>
      </c>
      <c r="F86" s="1">
        <v>33899.0</v>
      </c>
      <c r="G86" s="1">
        <v>19378.97</v>
      </c>
      <c r="H86" s="1">
        <v>10.0</v>
      </c>
      <c r="I86" s="1" t="s">
        <v>14</v>
      </c>
      <c r="J86" s="4">
        <f t="shared" si="1"/>
        <v>14520.03</v>
      </c>
      <c r="K86" s="4">
        <f t="shared" si="2"/>
        <v>11</v>
      </c>
      <c r="L86" s="4" t="str">
        <f t="shared" si="3"/>
        <v>Low Discount</v>
      </c>
    </row>
    <row r="87">
      <c r="A87" s="1">
        <v>1086.0</v>
      </c>
      <c r="B87" s="2">
        <v>45036.0</v>
      </c>
      <c r="C87" s="1" t="s">
        <v>15</v>
      </c>
      <c r="D87" s="1" t="s">
        <v>16</v>
      </c>
      <c r="E87" s="1" t="s">
        <v>11</v>
      </c>
      <c r="F87" s="1">
        <v>15001.0</v>
      </c>
      <c r="G87" s="1">
        <v>10587.6</v>
      </c>
      <c r="H87" s="1">
        <v>15.0</v>
      </c>
      <c r="I87" s="1" t="s">
        <v>14</v>
      </c>
      <c r="J87" s="4">
        <f t="shared" si="1"/>
        <v>4413.4</v>
      </c>
      <c r="K87" s="4">
        <f t="shared" si="2"/>
        <v>4</v>
      </c>
      <c r="L87" s="4" t="str">
        <f t="shared" si="3"/>
        <v>Low Discount</v>
      </c>
    </row>
    <row r="88">
      <c r="A88" s="1">
        <v>1087.0</v>
      </c>
      <c r="B88" s="2">
        <v>45544.0</v>
      </c>
      <c r="C88" s="1" t="s">
        <v>21</v>
      </c>
      <c r="D88" s="1" t="s">
        <v>16</v>
      </c>
      <c r="E88" s="1" t="s">
        <v>17</v>
      </c>
      <c r="F88" s="1">
        <v>17655.0</v>
      </c>
      <c r="G88" s="1">
        <v>9211.31</v>
      </c>
      <c r="H88" s="1">
        <v>5.0</v>
      </c>
      <c r="I88" s="1" t="s">
        <v>14</v>
      </c>
      <c r="J88" s="4">
        <f t="shared" si="1"/>
        <v>8443.69</v>
      </c>
      <c r="K88" s="4">
        <f t="shared" si="2"/>
        <v>9</v>
      </c>
      <c r="L88" s="4" t="str">
        <f t="shared" si="3"/>
        <v>Low Discount</v>
      </c>
    </row>
    <row r="89">
      <c r="A89" s="1">
        <v>1088.0</v>
      </c>
      <c r="B89" s="2">
        <v>45540.0</v>
      </c>
      <c r="C89" s="1" t="s">
        <v>15</v>
      </c>
      <c r="D89" s="1" t="s">
        <v>16</v>
      </c>
      <c r="E89" s="1" t="s">
        <v>22</v>
      </c>
      <c r="F89" s="1">
        <v>12346.0</v>
      </c>
      <c r="G89" s="1">
        <v>10104.37</v>
      </c>
      <c r="H89" s="1">
        <v>10.0</v>
      </c>
      <c r="I89" s="1" t="s">
        <v>14</v>
      </c>
      <c r="J89" s="4">
        <f t="shared" si="1"/>
        <v>2241.63</v>
      </c>
      <c r="K89" s="4">
        <f t="shared" si="2"/>
        <v>9</v>
      </c>
      <c r="L89" s="4" t="str">
        <f t="shared" si="3"/>
        <v>Low Discount</v>
      </c>
    </row>
    <row r="90">
      <c r="A90" s="1">
        <v>1089.0</v>
      </c>
      <c r="B90" s="2">
        <v>45081.0</v>
      </c>
      <c r="C90" s="1" t="s">
        <v>19</v>
      </c>
      <c r="D90" s="1" t="s">
        <v>10</v>
      </c>
      <c r="E90" s="1" t="s">
        <v>22</v>
      </c>
      <c r="F90" s="1">
        <v>58969.0</v>
      </c>
      <c r="G90" s="1">
        <v>41923.95</v>
      </c>
      <c r="H90" s="1">
        <v>0.0</v>
      </c>
      <c r="I90" s="1" t="s">
        <v>14</v>
      </c>
      <c r="J90" s="4">
        <f t="shared" si="1"/>
        <v>17045.05</v>
      </c>
      <c r="K90" s="4">
        <f t="shared" si="2"/>
        <v>6</v>
      </c>
      <c r="L90" s="4" t="str">
        <f t="shared" si="3"/>
        <v>Low Discount</v>
      </c>
    </row>
    <row r="91">
      <c r="A91" s="1">
        <v>1090.0</v>
      </c>
      <c r="B91" s="2">
        <v>45242.0</v>
      </c>
      <c r="C91" s="1" t="s">
        <v>21</v>
      </c>
      <c r="D91" s="1" t="s">
        <v>16</v>
      </c>
      <c r="E91" s="1" t="s">
        <v>11</v>
      </c>
      <c r="F91" s="1">
        <v>75839.0</v>
      </c>
      <c r="G91" s="1">
        <v>60073.98</v>
      </c>
      <c r="H91" s="1">
        <v>0.0</v>
      </c>
      <c r="I91" s="1" t="s">
        <v>14</v>
      </c>
      <c r="J91" s="4">
        <f t="shared" si="1"/>
        <v>15765.02</v>
      </c>
      <c r="K91" s="4">
        <f t="shared" si="2"/>
        <v>11</v>
      </c>
      <c r="L91" s="4" t="str">
        <f t="shared" si="3"/>
        <v>Low Discount</v>
      </c>
    </row>
    <row r="92">
      <c r="A92" s="1">
        <v>1091.0</v>
      </c>
      <c r="B92" s="2">
        <v>45329.0</v>
      </c>
      <c r="C92" s="1" t="s">
        <v>19</v>
      </c>
      <c r="D92" s="1" t="s">
        <v>10</v>
      </c>
      <c r="E92" s="1" t="s">
        <v>11</v>
      </c>
      <c r="F92" s="1">
        <v>76522.0</v>
      </c>
      <c r="G92" s="1">
        <v>67414.57</v>
      </c>
      <c r="H92" s="1">
        <v>30.0</v>
      </c>
      <c r="I92" s="1" t="s">
        <v>14</v>
      </c>
      <c r="J92" s="4">
        <f t="shared" si="1"/>
        <v>9107.43</v>
      </c>
      <c r="K92" s="4">
        <f t="shared" si="2"/>
        <v>2</v>
      </c>
      <c r="L92" s="4" t="str">
        <f t="shared" si="3"/>
        <v>High Discount</v>
      </c>
    </row>
    <row r="93">
      <c r="A93" s="1">
        <v>1092.0</v>
      </c>
      <c r="B93" s="2">
        <v>45207.0</v>
      </c>
      <c r="C93" s="1" t="s">
        <v>9</v>
      </c>
      <c r="D93" s="1" t="s">
        <v>10</v>
      </c>
      <c r="E93" s="1" t="s">
        <v>17</v>
      </c>
      <c r="F93" s="1">
        <v>31826.0</v>
      </c>
      <c r="G93" s="1">
        <v>21786.98</v>
      </c>
      <c r="H93" s="1">
        <v>40.0</v>
      </c>
      <c r="I93" s="1" t="s">
        <v>14</v>
      </c>
      <c r="J93" s="4">
        <f t="shared" si="1"/>
        <v>10039.02</v>
      </c>
      <c r="K93" s="4">
        <f t="shared" si="2"/>
        <v>10</v>
      </c>
      <c r="L93" s="4" t="str">
        <f t="shared" si="3"/>
        <v>High Discount</v>
      </c>
    </row>
    <row r="94">
      <c r="A94" s="1">
        <v>1093.0</v>
      </c>
      <c r="B94" s="2">
        <v>45094.0</v>
      </c>
      <c r="C94" s="1" t="s">
        <v>18</v>
      </c>
      <c r="D94" s="1" t="s">
        <v>16</v>
      </c>
      <c r="E94" s="1" t="s">
        <v>17</v>
      </c>
      <c r="F94" s="1">
        <v>53138.0</v>
      </c>
      <c r="G94" s="1">
        <v>36420.73</v>
      </c>
      <c r="H94" s="1">
        <v>30.0</v>
      </c>
      <c r="I94" s="1" t="s">
        <v>14</v>
      </c>
      <c r="J94" s="4">
        <f t="shared" si="1"/>
        <v>16717.27</v>
      </c>
      <c r="K94" s="4">
        <f t="shared" si="2"/>
        <v>6</v>
      </c>
      <c r="L94" s="4" t="str">
        <f t="shared" si="3"/>
        <v>High Discount</v>
      </c>
    </row>
    <row r="95">
      <c r="A95" s="1">
        <v>1094.0</v>
      </c>
      <c r="B95" s="2">
        <v>45489.0</v>
      </c>
      <c r="C95" s="1" t="s">
        <v>21</v>
      </c>
      <c r="D95" s="1" t="s">
        <v>16</v>
      </c>
      <c r="E95" s="1" t="s">
        <v>13</v>
      </c>
      <c r="F95" s="1">
        <v>70127.0</v>
      </c>
      <c r="G95" s="1">
        <v>39262.64</v>
      </c>
      <c r="H95" s="1">
        <v>30.0</v>
      </c>
      <c r="I95" s="1" t="s">
        <v>14</v>
      </c>
      <c r="J95" s="4">
        <f t="shared" si="1"/>
        <v>30864.36</v>
      </c>
      <c r="K95" s="4">
        <f t="shared" si="2"/>
        <v>7</v>
      </c>
      <c r="L95" s="4" t="str">
        <f t="shared" si="3"/>
        <v>High Discount</v>
      </c>
    </row>
    <row r="96">
      <c r="A96" s="1">
        <v>1095.0</v>
      </c>
      <c r="B96" s="2">
        <v>45619.0</v>
      </c>
      <c r="C96" s="1" t="s">
        <v>18</v>
      </c>
      <c r="D96" s="1" t="s">
        <v>16</v>
      </c>
      <c r="E96" s="1" t="s">
        <v>13</v>
      </c>
      <c r="F96" s="1">
        <v>53412.0</v>
      </c>
      <c r="G96" s="1">
        <v>47096.99</v>
      </c>
      <c r="H96" s="1">
        <v>10.0</v>
      </c>
      <c r="I96" s="1" t="s">
        <v>12</v>
      </c>
      <c r="J96" s="4">
        <f t="shared" si="1"/>
        <v>6315.01</v>
      </c>
      <c r="K96" s="4">
        <f t="shared" si="2"/>
        <v>11</v>
      </c>
      <c r="L96" s="4" t="str">
        <f t="shared" si="3"/>
        <v>Low Discount</v>
      </c>
    </row>
    <row r="97">
      <c r="A97" s="1">
        <v>1096.0</v>
      </c>
      <c r="B97" s="2">
        <v>45307.0</v>
      </c>
      <c r="C97" s="1" t="s">
        <v>20</v>
      </c>
      <c r="D97" s="1" t="s">
        <v>10</v>
      </c>
      <c r="E97" s="1" t="s">
        <v>17</v>
      </c>
      <c r="F97" s="1">
        <v>22441.0</v>
      </c>
      <c r="G97" s="1">
        <v>18498.35</v>
      </c>
      <c r="H97" s="1">
        <v>0.0</v>
      </c>
      <c r="I97" s="1" t="s">
        <v>12</v>
      </c>
      <c r="J97" s="4">
        <f t="shared" si="1"/>
        <v>3942.65</v>
      </c>
      <c r="K97" s="4">
        <f t="shared" si="2"/>
        <v>1</v>
      </c>
      <c r="L97" s="4" t="str">
        <f t="shared" si="3"/>
        <v>Low Discount</v>
      </c>
    </row>
    <row r="98">
      <c r="A98" s="1">
        <v>1097.0</v>
      </c>
      <c r="B98" s="2">
        <v>45329.0</v>
      </c>
      <c r="C98" s="1" t="s">
        <v>18</v>
      </c>
      <c r="D98" s="1" t="s">
        <v>16</v>
      </c>
      <c r="E98" s="1" t="s">
        <v>13</v>
      </c>
      <c r="F98" s="1">
        <v>71658.0</v>
      </c>
      <c r="G98" s="1">
        <v>51504.78</v>
      </c>
      <c r="H98" s="1">
        <v>15.0</v>
      </c>
      <c r="I98" s="1" t="s">
        <v>14</v>
      </c>
      <c r="J98" s="4">
        <f t="shared" si="1"/>
        <v>20153.22</v>
      </c>
      <c r="K98" s="4">
        <f t="shared" si="2"/>
        <v>2</v>
      </c>
      <c r="L98" s="4" t="str">
        <f t="shared" si="3"/>
        <v>Low Discount</v>
      </c>
    </row>
    <row r="99">
      <c r="A99" s="1">
        <v>1098.0</v>
      </c>
      <c r="B99" s="2">
        <v>44981.0</v>
      </c>
      <c r="C99" s="1" t="s">
        <v>15</v>
      </c>
      <c r="D99" s="1" t="s">
        <v>16</v>
      </c>
      <c r="E99" s="1" t="s">
        <v>11</v>
      </c>
      <c r="F99" s="1">
        <v>13755.0</v>
      </c>
      <c r="G99" s="1">
        <v>7698.3</v>
      </c>
      <c r="H99" s="1">
        <v>0.0</v>
      </c>
      <c r="I99" s="1" t="s">
        <v>12</v>
      </c>
      <c r="J99" s="4">
        <f t="shared" si="1"/>
        <v>6056.7</v>
      </c>
      <c r="K99" s="4">
        <f t="shared" si="2"/>
        <v>2</v>
      </c>
      <c r="L99" s="4" t="str">
        <f t="shared" si="3"/>
        <v>Low Discount</v>
      </c>
    </row>
    <row r="100">
      <c r="A100" s="1">
        <v>1099.0</v>
      </c>
      <c r="B100" s="2">
        <v>45520.0</v>
      </c>
      <c r="C100" s="1" t="s">
        <v>15</v>
      </c>
      <c r="D100" s="1" t="s">
        <v>16</v>
      </c>
      <c r="E100" s="1" t="s">
        <v>22</v>
      </c>
      <c r="F100" s="1">
        <v>19136.0</v>
      </c>
      <c r="G100" s="1">
        <v>12728.54</v>
      </c>
      <c r="H100" s="1">
        <v>5.0</v>
      </c>
      <c r="I100" s="1" t="s">
        <v>12</v>
      </c>
      <c r="J100" s="4">
        <f t="shared" si="1"/>
        <v>6407.46</v>
      </c>
      <c r="K100" s="4">
        <f t="shared" si="2"/>
        <v>8</v>
      </c>
      <c r="L100" s="4" t="str">
        <f t="shared" si="3"/>
        <v>Low Discount</v>
      </c>
    </row>
    <row r="101">
      <c r="A101" s="1">
        <v>1100.0</v>
      </c>
      <c r="B101" s="2">
        <v>45180.0</v>
      </c>
      <c r="C101" s="1" t="s">
        <v>21</v>
      </c>
      <c r="D101" s="1" t="s">
        <v>16</v>
      </c>
      <c r="E101" s="1" t="s">
        <v>11</v>
      </c>
      <c r="F101" s="1">
        <v>29519.0</v>
      </c>
      <c r="G101" s="1">
        <v>16597.48</v>
      </c>
      <c r="H101" s="1">
        <v>30.0</v>
      </c>
      <c r="I101" s="1" t="s">
        <v>12</v>
      </c>
      <c r="J101" s="4">
        <f t="shared" si="1"/>
        <v>12921.52</v>
      </c>
      <c r="K101" s="4">
        <f t="shared" si="2"/>
        <v>9</v>
      </c>
      <c r="L101" s="4" t="str">
        <f t="shared" si="3"/>
        <v>High Discount</v>
      </c>
    </row>
    <row r="102">
      <c r="A102" s="1">
        <v>1101.0</v>
      </c>
      <c r="B102" s="2">
        <v>45172.0</v>
      </c>
      <c r="C102" s="1" t="s">
        <v>9</v>
      </c>
      <c r="D102" s="1" t="s">
        <v>10</v>
      </c>
      <c r="E102" s="1" t="s">
        <v>22</v>
      </c>
      <c r="F102" s="1">
        <v>20215.0</v>
      </c>
      <c r="G102" s="1">
        <v>13483.06</v>
      </c>
      <c r="H102" s="1">
        <v>0.0</v>
      </c>
      <c r="I102" s="1" t="s">
        <v>14</v>
      </c>
      <c r="J102" s="4">
        <f t="shared" si="1"/>
        <v>6731.94</v>
      </c>
      <c r="K102" s="4">
        <f t="shared" si="2"/>
        <v>9</v>
      </c>
      <c r="L102" s="4" t="str">
        <f t="shared" si="3"/>
        <v>Low Discount</v>
      </c>
    </row>
    <row r="103">
      <c r="A103" s="1">
        <v>1102.0</v>
      </c>
      <c r="B103" s="2">
        <v>45359.0</v>
      </c>
      <c r="C103" s="1" t="s">
        <v>9</v>
      </c>
      <c r="D103" s="1" t="s">
        <v>10</v>
      </c>
      <c r="E103" s="1" t="s">
        <v>13</v>
      </c>
      <c r="F103" s="4">
        <f>average(F2,F201)</f>
        <v>19641</v>
      </c>
      <c r="G103" s="1">
        <v>30533.15</v>
      </c>
      <c r="H103" s="1">
        <v>15.0</v>
      </c>
      <c r="I103" s="1" t="s">
        <v>12</v>
      </c>
      <c r="J103" s="4">
        <f t="shared" si="1"/>
        <v>-10892.15</v>
      </c>
      <c r="K103" s="4">
        <f t="shared" si="2"/>
        <v>3</v>
      </c>
      <c r="L103" s="4" t="str">
        <f t="shared" si="3"/>
        <v>Low Discount</v>
      </c>
    </row>
    <row r="104">
      <c r="A104" s="1">
        <v>1103.0</v>
      </c>
      <c r="B104" s="2">
        <v>45393.0</v>
      </c>
      <c r="C104" s="1" t="s">
        <v>9</v>
      </c>
      <c r="D104" s="1" t="s">
        <v>10</v>
      </c>
      <c r="E104" s="1" t="s">
        <v>11</v>
      </c>
      <c r="F104" s="1">
        <v>47019.0</v>
      </c>
      <c r="G104" s="1">
        <v>41648.42</v>
      </c>
      <c r="H104" s="1">
        <v>40.0</v>
      </c>
      <c r="I104" s="1" t="s">
        <v>12</v>
      </c>
      <c r="J104" s="4">
        <f t="shared" si="1"/>
        <v>5370.58</v>
      </c>
      <c r="K104" s="4">
        <f t="shared" si="2"/>
        <v>4</v>
      </c>
      <c r="L104" s="4" t="str">
        <f t="shared" si="3"/>
        <v>High Discount</v>
      </c>
    </row>
    <row r="105">
      <c r="A105" s="1">
        <v>1104.0</v>
      </c>
      <c r="B105" s="2">
        <v>45523.0</v>
      </c>
      <c r="C105" s="1" t="s">
        <v>20</v>
      </c>
      <c r="D105" s="1" t="s">
        <v>10</v>
      </c>
      <c r="E105" s="1" t="s">
        <v>17</v>
      </c>
      <c r="F105" s="1">
        <v>30851.0</v>
      </c>
      <c r="G105" s="1">
        <v>18277.3</v>
      </c>
      <c r="H105" s="1">
        <v>0.0</v>
      </c>
      <c r="I105" s="1" t="s">
        <v>12</v>
      </c>
      <c r="J105" s="4">
        <f t="shared" si="1"/>
        <v>12573.7</v>
      </c>
      <c r="K105" s="4">
        <f t="shared" si="2"/>
        <v>8</v>
      </c>
      <c r="L105" s="4" t="str">
        <f t="shared" si="3"/>
        <v>Low Discount</v>
      </c>
    </row>
    <row r="106">
      <c r="A106" s="1">
        <v>1105.0</v>
      </c>
      <c r="B106" s="2">
        <v>45456.0</v>
      </c>
      <c r="C106" s="1" t="s">
        <v>18</v>
      </c>
      <c r="D106" s="1" t="s">
        <v>16</v>
      </c>
      <c r="E106" s="1" t="s">
        <v>13</v>
      </c>
      <c r="F106" s="1">
        <v>47132.0</v>
      </c>
      <c r="G106" s="1">
        <v>23963.95</v>
      </c>
      <c r="H106" s="1">
        <v>5.0</v>
      </c>
      <c r="I106" s="1" t="s">
        <v>12</v>
      </c>
      <c r="J106" s="4">
        <f t="shared" si="1"/>
        <v>23168.05</v>
      </c>
      <c r="K106" s="4">
        <f t="shared" si="2"/>
        <v>6</v>
      </c>
      <c r="L106" s="4" t="str">
        <f t="shared" si="3"/>
        <v>Low Discount</v>
      </c>
    </row>
    <row r="107">
      <c r="A107" s="1">
        <v>1106.0</v>
      </c>
      <c r="B107" s="2">
        <v>45183.0</v>
      </c>
      <c r="C107" s="1" t="s">
        <v>20</v>
      </c>
      <c r="D107" s="1" t="s">
        <v>10</v>
      </c>
      <c r="E107" s="1" t="s">
        <v>17</v>
      </c>
      <c r="F107" s="1">
        <v>45922.0</v>
      </c>
      <c r="G107" s="1">
        <v>39474.43</v>
      </c>
      <c r="H107" s="1">
        <v>10.0</v>
      </c>
      <c r="I107" s="1" t="s">
        <v>12</v>
      </c>
      <c r="J107" s="4">
        <f t="shared" si="1"/>
        <v>6447.57</v>
      </c>
      <c r="K107" s="4">
        <f t="shared" si="2"/>
        <v>9</v>
      </c>
      <c r="L107" s="4" t="str">
        <f t="shared" si="3"/>
        <v>Low Discount</v>
      </c>
    </row>
    <row r="108">
      <c r="A108" s="1">
        <v>1107.0</v>
      </c>
      <c r="B108" s="2">
        <v>45261.0</v>
      </c>
      <c r="C108" s="1" t="s">
        <v>18</v>
      </c>
      <c r="D108" s="1" t="s">
        <v>16</v>
      </c>
      <c r="E108" s="1" t="s">
        <v>11</v>
      </c>
      <c r="F108" s="1">
        <v>72104.0</v>
      </c>
      <c r="G108" s="1">
        <v>53593.53</v>
      </c>
      <c r="H108" s="1">
        <v>20.0</v>
      </c>
      <c r="I108" s="1" t="s">
        <v>14</v>
      </c>
      <c r="J108" s="4">
        <f t="shared" si="1"/>
        <v>18510.47</v>
      </c>
      <c r="K108" s="4">
        <f t="shared" si="2"/>
        <v>12</v>
      </c>
      <c r="L108" s="4" t="str">
        <f t="shared" si="3"/>
        <v>Low Discount</v>
      </c>
    </row>
    <row r="109">
      <c r="A109" s="1">
        <v>1108.0</v>
      </c>
      <c r="B109" s="2">
        <v>45297.0</v>
      </c>
      <c r="C109" s="1" t="s">
        <v>9</v>
      </c>
      <c r="D109" s="1" t="s">
        <v>10</v>
      </c>
      <c r="E109" s="1" t="s">
        <v>13</v>
      </c>
      <c r="F109" s="1">
        <v>75577.0</v>
      </c>
      <c r="G109" s="1">
        <v>39222.91</v>
      </c>
      <c r="H109" s="1">
        <v>30.0</v>
      </c>
      <c r="I109" s="1" t="s">
        <v>12</v>
      </c>
      <c r="J109" s="4">
        <f t="shared" si="1"/>
        <v>36354.09</v>
      </c>
      <c r="K109" s="4">
        <f t="shared" si="2"/>
        <v>1</v>
      </c>
      <c r="L109" s="4" t="str">
        <f t="shared" si="3"/>
        <v>High Discount</v>
      </c>
    </row>
    <row r="110">
      <c r="A110" s="1">
        <v>1109.0</v>
      </c>
      <c r="B110" s="2">
        <v>45451.0</v>
      </c>
      <c r="C110" s="1" t="s">
        <v>15</v>
      </c>
      <c r="D110" s="1" t="s">
        <v>16</v>
      </c>
      <c r="E110" s="1" t="s">
        <v>11</v>
      </c>
      <c r="F110" s="1">
        <v>31236.0</v>
      </c>
      <c r="G110" s="1">
        <v>27371.68</v>
      </c>
      <c r="H110" s="1">
        <v>15.0</v>
      </c>
      <c r="I110" s="1" t="s">
        <v>12</v>
      </c>
      <c r="J110" s="4">
        <f t="shared" si="1"/>
        <v>3864.32</v>
      </c>
      <c r="K110" s="4">
        <f t="shared" si="2"/>
        <v>6</v>
      </c>
      <c r="L110" s="4" t="str">
        <f t="shared" si="3"/>
        <v>Low Discount</v>
      </c>
    </row>
    <row r="111">
      <c r="A111" s="1">
        <v>1110.0</v>
      </c>
      <c r="B111" s="2">
        <v>45297.0</v>
      </c>
      <c r="C111" s="1" t="s">
        <v>18</v>
      </c>
      <c r="D111" s="1" t="s">
        <v>16</v>
      </c>
      <c r="E111" s="1" t="s">
        <v>13</v>
      </c>
      <c r="F111" s="1">
        <v>35906.0</v>
      </c>
      <c r="G111" s="1">
        <v>31439.4</v>
      </c>
      <c r="H111" s="1">
        <v>5.0</v>
      </c>
      <c r="I111" s="1" t="s">
        <v>12</v>
      </c>
      <c r="J111" s="4">
        <f t="shared" si="1"/>
        <v>4466.6</v>
      </c>
      <c r="K111" s="4">
        <f t="shared" si="2"/>
        <v>1</v>
      </c>
      <c r="L111" s="4" t="str">
        <f t="shared" si="3"/>
        <v>Low Discount</v>
      </c>
    </row>
    <row r="112">
      <c r="A112" s="1">
        <v>1111.0</v>
      </c>
      <c r="B112" s="2">
        <v>45087.0</v>
      </c>
      <c r="C112" s="1" t="s">
        <v>18</v>
      </c>
      <c r="D112" s="1" t="s">
        <v>16</v>
      </c>
      <c r="E112" s="1" t="s">
        <v>13</v>
      </c>
      <c r="F112" s="1">
        <v>71229.0</v>
      </c>
      <c r="G112" s="1">
        <v>46384.24</v>
      </c>
      <c r="H112" s="1">
        <v>15.0</v>
      </c>
      <c r="I112" s="1" t="s">
        <v>14</v>
      </c>
      <c r="J112" s="4">
        <f t="shared" si="1"/>
        <v>24844.76</v>
      </c>
      <c r="K112" s="4">
        <f t="shared" si="2"/>
        <v>6</v>
      </c>
      <c r="L112" s="4" t="str">
        <f t="shared" si="3"/>
        <v>Low Discount</v>
      </c>
    </row>
    <row r="113">
      <c r="A113" s="1">
        <v>1112.0</v>
      </c>
      <c r="B113" s="2">
        <v>45209.0</v>
      </c>
      <c r="C113" s="1" t="s">
        <v>18</v>
      </c>
      <c r="D113" s="1" t="s">
        <v>16</v>
      </c>
      <c r="E113" s="1" t="s">
        <v>22</v>
      </c>
      <c r="F113" s="4">
        <f>average(F2,F201)</f>
        <v>19641</v>
      </c>
      <c r="G113" s="1">
        <v>13205.66</v>
      </c>
      <c r="H113" s="1">
        <v>10.0</v>
      </c>
      <c r="I113" s="1" t="s">
        <v>12</v>
      </c>
      <c r="J113" s="4">
        <f t="shared" si="1"/>
        <v>6435.34</v>
      </c>
      <c r="K113" s="4">
        <f t="shared" si="2"/>
        <v>10</v>
      </c>
      <c r="L113" s="4" t="str">
        <f t="shared" si="3"/>
        <v>Low Discount</v>
      </c>
    </row>
    <row r="114">
      <c r="A114" s="1">
        <v>1113.0</v>
      </c>
      <c r="B114" s="2">
        <v>45440.0</v>
      </c>
      <c r="C114" s="1" t="s">
        <v>15</v>
      </c>
      <c r="D114" s="1" t="s">
        <v>16</v>
      </c>
      <c r="E114" s="1" t="s">
        <v>11</v>
      </c>
      <c r="F114" s="1">
        <v>37613.0</v>
      </c>
      <c r="G114" s="1">
        <v>28619.63</v>
      </c>
      <c r="H114" s="1">
        <v>5.0</v>
      </c>
      <c r="I114" s="1" t="s">
        <v>14</v>
      </c>
      <c r="J114" s="4">
        <f t="shared" si="1"/>
        <v>8993.37</v>
      </c>
      <c r="K114" s="4">
        <f t="shared" si="2"/>
        <v>5</v>
      </c>
      <c r="L114" s="4" t="str">
        <f t="shared" si="3"/>
        <v>Low Discount</v>
      </c>
    </row>
    <row r="115">
      <c r="A115" s="1">
        <v>1114.0</v>
      </c>
      <c r="B115" s="2">
        <v>45608.0</v>
      </c>
      <c r="C115" s="1" t="s">
        <v>18</v>
      </c>
      <c r="D115" s="1" t="s">
        <v>16</v>
      </c>
      <c r="E115" s="1" t="s">
        <v>13</v>
      </c>
      <c r="F115" s="1">
        <v>51534.0</v>
      </c>
      <c r="G115" s="1">
        <v>30077.65</v>
      </c>
      <c r="H115" s="1">
        <v>40.0</v>
      </c>
      <c r="I115" s="1" t="s">
        <v>12</v>
      </c>
      <c r="J115" s="4">
        <f t="shared" si="1"/>
        <v>21456.35</v>
      </c>
      <c r="K115" s="4">
        <f t="shared" si="2"/>
        <v>11</v>
      </c>
      <c r="L115" s="4" t="str">
        <f t="shared" si="3"/>
        <v>High Discount</v>
      </c>
    </row>
    <row r="116">
      <c r="A116" s="1">
        <v>1115.0</v>
      </c>
      <c r="B116" s="2">
        <v>45221.0</v>
      </c>
      <c r="C116" s="1" t="s">
        <v>19</v>
      </c>
      <c r="D116" s="1" t="s">
        <v>10</v>
      </c>
      <c r="E116" s="1" t="s">
        <v>11</v>
      </c>
      <c r="F116" s="1">
        <v>55408.0</v>
      </c>
      <c r="G116" s="1">
        <v>43303.68</v>
      </c>
      <c r="H116" s="1">
        <v>15.0</v>
      </c>
      <c r="I116" s="1" t="s">
        <v>12</v>
      </c>
      <c r="J116" s="4">
        <f t="shared" si="1"/>
        <v>12104.32</v>
      </c>
      <c r="K116" s="4">
        <f t="shared" si="2"/>
        <v>10</v>
      </c>
      <c r="L116" s="4" t="str">
        <f t="shared" si="3"/>
        <v>Low Discount</v>
      </c>
    </row>
    <row r="117">
      <c r="A117" s="1">
        <v>1116.0</v>
      </c>
      <c r="B117" s="2">
        <v>45478.0</v>
      </c>
      <c r="C117" s="1" t="s">
        <v>15</v>
      </c>
      <c r="D117" s="1" t="s">
        <v>16</v>
      </c>
      <c r="E117" s="1" t="s">
        <v>13</v>
      </c>
      <c r="F117" s="1">
        <v>52485.0</v>
      </c>
      <c r="G117" s="1">
        <v>32751.66</v>
      </c>
      <c r="H117" s="1">
        <v>40.0</v>
      </c>
      <c r="I117" s="1" t="s">
        <v>14</v>
      </c>
      <c r="J117" s="4">
        <f t="shared" si="1"/>
        <v>19733.34</v>
      </c>
      <c r="K117" s="4">
        <f t="shared" si="2"/>
        <v>7</v>
      </c>
      <c r="L117" s="4" t="str">
        <f t="shared" si="3"/>
        <v>High Discount</v>
      </c>
    </row>
    <row r="118">
      <c r="A118" s="1">
        <v>1117.0</v>
      </c>
      <c r="B118" s="2">
        <v>45188.0</v>
      </c>
      <c r="C118" s="1" t="s">
        <v>15</v>
      </c>
      <c r="D118" s="1" t="s">
        <v>16</v>
      </c>
      <c r="E118" s="1" t="s">
        <v>22</v>
      </c>
      <c r="F118" s="1">
        <v>58891.0</v>
      </c>
      <c r="G118" s="1">
        <v>38557.46</v>
      </c>
      <c r="H118" s="1">
        <v>5.0</v>
      </c>
      <c r="I118" s="1" t="s">
        <v>14</v>
      </c>
      <c r="J118" s="4">
        <f t="shared" si="1"/>
        <v>20333.54</v>
      </c>
      <c r="K118" s="4">
        <f t="shared" si="2"/>
        <v>9</v>
      </c>
      <c r="L118" s="4" t="str">
        <f t="shared" si="3"/>
        <v>Low Discount</v>
      </c>
    </row>
    <row r="119">
      <c r="A119" s="1">
        <v>1118.0</v>
      </c>
      <c r="B119" s="2">
        <v>45346.0</v>
      </c>
      <c r="C119" s="1" t="s">
        <v>21</v>
      </c>
      <c r="D119" s="1" t="s">
        <v>16</v>
      </c>
      <c r="E119" s="1" t="s">
        <v>22</v>
      </c>
      <c r="F119" s="1">
        <v>69005.0</v>
      </c>
      <c r="G119" s="1">
        <v>43564.79</v>
      </c>
      <c r="H119" s="1">
        <v>40.0</v>
      </c>
      <c r="I119" s="1" t="s">
        <v>12</v>
      </c>
      <c r="J119" s="4">
        <f t="shared" si="1"/>
        <v>25440.21</v>
      </c>
      <c r="K119" s="4">
        <f t="shared" si="2"/>
        <v>2</v>
      </c>
      <c r="L119" s="4" t="str">
        <f t="shared" si="3"/>
        <v>High Discount</v>
      </c>
    </row>
    <row r="120">
      <c r="A120" s="1">
        <v>1119.0</v>
      </c>
      <c r="B120" s="2">
        <v>45314.0</v>
      </c>
      <c r="C120" s="1" t="s">
        <v>15</v>
      </c>
      <c r="D120" s="1" t="s">
        <v>16</v>
      </c>
      <c r="E120" s="1" t="s">
        <v>11</v>
      </c>
      <c r="F120" s="1">
        <v>47819.0</v>
      </c>
      <c r="G120" s="1">
        <v>39854.42</v>
      </c>
      <c r="H120" s="1">
        <v>0.0</v>
      </c>
      <c r="I120" s="1" t="s">
        <v>14</v>
      </c>
      <c r="J120" s="4">
        <f t="shared" si="1"/>
        <v>7964.58</v>
      </c>
      <c r="K120" s="4">
        <f t="shared" si="2"/>
        <v>1</v>
      </c>
      <c r="L120" s="4" t="str">
        <f t="shared" si="3"/>
        <v>Low Discount</v>
      </c>
    </row>
    <row r="121">
      <c r="A121" s="1">
        <v>1120.0</v>
      </c>
      <c r="B121" s="2">
        <v>44931.0</v>
      </c>
      <c r="C121" s="1" t="s">
        <v>9</v>
      </c>
      <c r="D121" s="1" t="s">
        <v>10</v>
      </c>
      <c r="E121" s="1" t="s">
        <v>13</v>
      </c>
      <c r="F121" s="1">
        <v>46147.0</v>
      </c>
      <c r="G121" s="1">
        <v>23360.68</v>
      </c>
      <c r="H121" s="1">
        <v>30.0</v>
      </c>
      <c r="I121" s="1" t="s">
        <v>14</v>
      </c>
      <c r="J121" s="4">
        <f t="shared" si="1"/>
        <v>22786.32</v>
      </c>
      <c r="K121" s="4">
        <f t="shared" si="2"/>
        <v>1</v>
      </c>
      <c r="L121" s="4" t="str">
        <f t="shared" si="3"/>
        <v>High Discount</v>
      </c>
    </row>
    <row r="122">
      <c r="A122" s="1">
        <v>1121.0</v>
      </c>
      <c r="B122" s="2">
        <v>45219.0</v>
      </c>
      <c r="C122" s="1" t="s">
        <v>20</v>
      </c>
      <c r="D122" s="1" t="s">
        <v>10</v>
      </c>
      <c r="E122" s="1" t="s">
        <v>11</v>
      </c>
      <c r="F122" s="1">
        <v>37889.0</v>
      </c>
      <c r="G122" s="1">
        <v>27064.82</v>
      </c>
      <c r="H122" s="1">
        <v>15.0</v>
      </c>
      <c r="I122" s="1" t="s">
        <v>12</v>
      </c>
      <c r="J122" s="4">
        <f t="shared" si="1"/>
        <v>10824.18</v>
      </c>
      <c r="K122" s="4">
        <f t="shared" si="2"/>
        <v>10</v>
      </c>
      <c r="L122" s="4" t="str">
        <f t="shared" si="3"/>
        <v>Low Discount</v>
      </c>
    </row>
    <row r="123">
      <c r="A123" s="1">
        <v>1122.0</v>
      </c>
      <c r="B123" s="2">
        <v>45475.0</v>
      </c>
      <c r="C123" s="1" t="s">
        <v>20</v>
      </c>
      <c r="D123" s="1" t="s">
        <v>10</v>
      </c>
      <c r="E123" s="1" t="s">
        <v>22</v>
      </c>
      <c r="F123" s="1">
        <v>55966.0</v>
      </c>
      <c r="G123" s="1">
        <v>47692.28</v>
      </c>
      <c r="H123" s="1">
        <v>10.0</v>
      </c>
      <c r="I123" s="1" t="s">
        <v>14</v>
      </c>
      <c r="J123" s="4">
        <f t="shared" si="1"/>
        <v>8273.72</v>
      </c>
      <c r="K123" s="4">
        <f t="shared" si="2"/>
        <v>7</v>
      </c>
      <c r="L123" s="4" t="str">
        <f t="shared" si="3"/>
        <v>Low Discount</v>
      </c>
    </row>
    <row r="124">
      <c r="A124" s="1">
        <v>1123.0</v>
      </c>
      <c r="B124" s="2">
        <v>45072.0</v>
      </c>
      <c r="C124" s="1" t="s">
        <v>20</v>
      </c>
      <c r="D124" s="1" t="s">
        <v>10</v>
      </c>
      <c r="E124" s="1" t="s">
        <v>22</v>
      </c>
      <c r="F124" s="1">
        <v>8453.0</v>
      </c>
      <c r="G124" s="1">
        <v>5366.45</v>
      </c>
      <c r="H124" s="1">
        <v>40.0</v>
      </c>
      <c r="I124" s="1" t="s">
        <v>14</v>
      </c>
      <c r="J124" s="4">
        <f t="shared" si="1"/>
        <v>3086.55</v>
      </c>
      <c r="K124" s="4">
        <f t="shared" si="2"/>
        <v>5</v>
      </c>
      <c r="L124" s="4" t="str">
        <f t="shared" si="3"/>
        <v>High Discount</v>
      </c>
    </row>
    <row r="125">
      <c r="A125" s="1">
        <v>1124.0</v>
      </c>
      <c r="B125" s="2">
        <v>45363.0</v>
      </c>
      <c r="C125" s="1" t="s">
        <v>15</v>
      </c>
      <c r="D125" s="1" t="s">
        <v>16</v>
      </c>
      <c r="E125" s="1" t="s">
        <v>13</v>
      </c>
      <c r="F125" s="1">
        <v>78667.0</v>
      </c>
      <c r="G125" s="1">
        <v>53868.46</v>
      </c>
      <c r="H125" s="1">
        <v>15.0</v>
      </c>
      <c r="I125" s="1" t="s">
        <v>14</v>
      </c>
      <c r="J125" s="4">
        <f t="shared" si="1"/>
        <v>24798.54</v>
      </c>
      <c r="K125" s="4">
        <f t="shared" si="2"/>
        <v>3</v>
      </c>
      <c r="L125" s="4" t="str">
        <f t="shared" si="3"/>
        <v>Low Discount</v>
      </c>
    </row>
    <row r="126">
      <c r="A126" s="1">
        <v>1125.0</v>
      </c>
      <c r="B126" s="2">
        <v>45164.0</v>
      </c>
      <c r="C126" s="1" t="s">
        <v>9</v>
      </c>
      <c r="D126" s="1" t="s">
        <v>10</v>
      </c>
      <c r="E126" s="1" t="s">
        <v>11</v>
      </c>
      <c r="F126" s="1">
        <v>46741.0</v>
      </c>
      <c r="G126" s="1">
        <v>26806.5</v>
      </c>
      <c r="H126" s="1">
        <v>15.0</v>
      </c>
      <c r="I126" s="1" t="s">
        <v>14</v>
      </c>
      <c r="J126" s="4">
        <f t="shared" si="1"/>
        <v>19934.5</v>
      </c>
      <c r="K126" s="4">
        <f t="shared" si="2"/>
        <v>8</v>
      </c>
      <c r="L126" s="4" t="str">
        <f t="shared" si="3"/>
        <v>Low Discount</v>
      </c>
    </row>
    <row r="127">
      <c r="A127" s="1">
        <v>1126.0</v>
      </c>
      <c r="B127" s="2">
        <v>45541.0</v>
      </c>
      <c r="C127" s="1" t="s">
        <v>20</v>
      </c>
      <c r="D127" s="1" t="s">
        <v>10</v>
      </c>
      <c r="E127" s="1" t="s">
        <v>22</v>
      </c>
      <c r="F127" s="1">
        <v>71598.0</v>
      </c>
      <c r="G127" s="1">
        <v>57338.92</v>
      </c>
      <c r="H127" s="1">
        <v>0.0</v>
      </c>
      <c r="I127" s="1" t="s">
        <v>14</v>
      </c>
      <c r="J127" s="4">
        <f t="shared" si="1"/>
        <v>14259.08</v>
      </c>
      <c r="K127" s="4">
        <f t="shared" si="2"/>
        <v>9</v>
      </c>
      <c r="L127" s="4" t="str">
        <f t="shared" si="3"/>
        <v>Low Discount</v>
      </c>
    </row>
    <row r="128">
      <c r="A128" s="1">
        <v>1127.0</v>
      </c>
      <c r="B128" s="2">
        <v>44981.0</v>
      </c>
      <c r="C128" s="1" t="s">
        <v>20</v>
      </c>
      <c r="D128" s="1" t="s">
        <v>10</v>
      </c>
      <c r="E128" s="1" t="s">
        <v>13</v>
      </c>
      <c r="F128" s="1">
        <v>42639.0</v>
      </c>
      <c r="G128" s="1">
        <v>32627.57</v>
      </c>
      <c r="H128" s="1">
        <v>5.0</v>
      </c>
      <c r="I128" s="1" t="s">
        <v>12</v>
      </c>
      <c r="J128" s="4">
        <f t="shared" si="1"/>
        <v>10011.43</v>
      </c>
      <c r="K128" s="4">
        <f t="shared" si="2"/>
        <v>2</v>
      </c>
      <c r="L128" s="4" t="str">
        <f t="shared" si="3"/>
        <v>Low Discount</v>
      </c>
    </row>
    <row r="129">
      <c r="A129" s="1">
        <v>1128.0</v>
      </c>
      <c r="B129" s="2">
        <v>45189.0</v>
      </c>
      <c r="C129" s="1" t="s">
        <v>9</v>
      </c>
      <c r="D129" s="1" t="s">
        <v>10</v>
      </c>
      <c r="E129" s="1" t="s">
        <v>13</v>
      </c>
      <c r="F129" s="1">
        <v>70069.0</v>
      </c>
      <c r="G129" s="1">
        <v>56019.92</v>
      </c>
      <c r="H129" s="1">
        <v>10.0</v>
      </c>
      <c r="I129" s="1" t="s">
        <v>14</v>
      </c>
      <c r="J129" s="4">
        <f t="shared" si="1"/>
        <v>14049.08</v>
      </c>
      <c r="K129" s="4">
        <f t="shared" si="2"/>
        <v>9</v>
      </c>
      <c r="L129" s="4" t="str">
        <f t="shared" si="3"/>
        <v>Low Discount</v>
      </c>
    </row>
    <row r="130">
      <c r="A130" s="1">
        <v>1129.0</v>
      </c>
      <c r="B130" s="2">
        <v>45416.0</v>
      </c>
      <c r="C130" s="1" t="s">
        <v>18</v>
      </c>
      <c r="D130" s="1" t="s">
        <v>16</v>
      </c>
      <c r="E130" s="1" t="s">
        <v>11</v>
      </c>
      <c r="F130" s="1">
        <v>29495.0</v>
      </c>
      <c r="G130" s="1">
        <v>20143.87</v>
      </c>
      <c r="H130" s="1">
        <v>30.0</v>
      </c>
      <c r="I130" s="1" t="s">
        <v>14</v>
      </c>
      <c r="J130" s="4">
        <f t="shared" si="1"/>
        <v>9351.13</v>
      </c>
      <c r="K130" s="4">
        <f t="shared" si="2"/>
        <v>5</v>
      </c>
      <c r="L130" s="4" t="str">
        <f t="shared" si="3"/>
        <v>High Discount</v>
      </c>
    </row>
    <row r="131">
      <c r="A131" s="1">
        <v>1130.0</v>
      </c>
      <c r="B131" s="2">
        <v>44962.0</v>
      </c>
      <c r="C131" s="1" t="s">
        <v>21</v>
      </c>
      <c r="D131" s="1" t="s">
        <v>16</v>
      </c>
      <c r="E131" s="1" t="s">
        <v>11</v>
      </c>
      <c r="F131" s="1">
        <v>50989.0</v>
      </c>
      <c r="G131" s="1">
        <v>40774.6</v>
      </c>
      <c r="H131" s="1">
        <v>0.0</v>
      </c>
      <c r="I131" s="1" t="s">
        <v>14</v>
      </c>
      <c r="J131" s="4">
        <f t="shared" si="1"/>
        <v>10214.4</v>
      </c>
      <c r="K131" s="4">
        <f t="shared" si="2"/>
        <v>2</v>
      </c>
      <c r="L131" s="4" t="str">
        <f t="shared" si="3"/>
        <v>Low Discount</v>
      </c>
    </row>
    <row r="132">
      <c r="A132" s="1">
        <v>1131.0</v>
      </c>
      <c r="B132" s="2">
        <v>45139.0</v>
      </c>
      <c r="C132" s="1" t="s">
        <v>15</v>
      </c>
      <c r="D132" s="1" t="s">
        <v>16</v>
      </c>
      <c r="E132" s="1" t="s">
        <v>13</v>
      </c>
      <c r="F132" s="1">
        <v>58930.0</v>
      </c>
      <c r="G132" s="1">
        <v>32669.82</v>
      </c>
      <c r="H132" s="1">
        <v>20.0</v>
      </c>
      <c r="I132" s="1" t="s">
        <v>12</v>
      </c>
      <c r="J132" s="4">
        <f t="shared" si="1"/>
        <v>26260.18</v>
      </c>
      <c r="K132" s="4">
        <f t="shared" si="2"/>
        <v>8</v>
      </c>
      <c r="L132" s="4" t="str">
        <f t="shared" si="3"/>
        <v>Low Discount</v>
      </c>
    </row>
    <row r="133">
      <c r="A133" s="1">
        <v>1132.0</v>
      </c>
      <c r="B133" s="2">
        <v>45376.0</v>
      </c>
      <c r="C133" s="1" t="s">
        <v>9</v>
      </c>
      <c r="D133" s="1" t="s">
        <v>10</v>
      </c>
      <c r="E133" s="1" t="s">
        <v>13</v>
      </c>
      <c r="F133" s="1">
        <v>76284.0</v>
      </c>
      <c r="G133" s="1">
        <v>41031.71</v>
      </c>
      <c r="H133" s="1">
        <v>10.0</v>
      </c>
      <c r="I133" s="1" t="s">
        <v>14</v>
      </c>
      <c r="J133" s="4">
        <f t="shared" si="1"/>
        <v>35252.29</v>
      </c>
      <c r="K133" s="4">
        <f t="shared" si="2"/>
        <v>3</v>
      </c>
      <c r="L133" s="4" t="str">
        <f t="shared" si="3"/>
        <v>Low Discount</v>
      </c>
    </row>
    <row r="134">
      <c r="A134" s="1">
        <v>1133.0</v>
      </c>
      <c r="B134" s="2">
        <v>45010.0</v>
      </c>
      <c r="C134" s="1" t="s">
        <v>18</v>
      </c>
      <c r="D134" s="1" t="s">
        <v>16</v>
      </c>
      <c r="E134" s="1" t="s">
        <v>22</v>
      </c>
      <c r="F134" s="1">
        <v>69870.0</v>
      </c>
      <c r="G134" s="1">
        <v>59366.1</v>
      </c>
      <c r="H134" s="1">
        <v>5.0</v>
      </c>
      <c r="I134" s="1" t="s">
        <v>14</v>
      </c>
      <c r="J134" s="4">
        <f t="shared" si="1"/>
        <v>10503.9</v>
      </c>
      <c r="K134" s="4">
        <f t="shared" si="2"/>
        <v>3</v>
      </c>
      <c r="L134" s="4" t="str">
        <f t="shared" si="3"/>
        <v>Low Discount</v>
      </c>
    </row>
    <row r="135">
      <c r="A135" s="1">
        <v>1134.0</v>
      </c>
      <c r="B135" s="2">
        <v>45166.0</v>
      </c>
      <c r="C135" s="1" t="s">
        <v>20</v>
      </c>
      <c r="D135" s="1" t="s">
        <v>10</v>
      </c>
      <c r="E135" s="1" t="s">
        <v>11</v>
      </c>
      <c r="F135" s="1">
        <v>62723.0</v>
      </c>
      <c r="G135" s="1">
        <v>49037.44</v>
      </c>
      <c r="H135" s="1">
        <v>0.0</v>
      </c>
      <c r="I135" s="1" t="s">
        <v>12</v>
      </c>
      <c r="J135" s="4">
        <f t="shared" si="1"/>
        <v>13685.56</v>
      </c>
      <c r="K135" s="4">
        <f t="shared" si="2"/>
        <v>8</v>
      </c>
      <c r="L135" s="4" t="str">
        <f t="shared" si="3"/>
        <v>Low Discount</v>
      </c>
    </row>
    <row r="136">
      <c r="A136" s="1">
        <v>1135.0</v>
      </c>
      <c r="B136" s="2">
        <v>45354.0</v>
      </c>
      <c r="C136" s="1" t="s">
        <v>20</v>
      </c>
      <c r="D136" s="1" t="s">
        <v>10</v>
      </c>
      <c r="E136" s="1" t="s">
        <v>11</v>
      </c>
      <c r="F136" s="1">
        <v>73713.0</v>
      </c>
      <c r="G136" s="4">
        <v>14819.37</v>
      </c>
      <c r="H136" s="1">
        <v>10.0</v>
      </c>
      <c r="I136" s="1" t="s">
        <v>14</v>
      </c>
      <c r="J136" s="4">
        <f t="shared" si="1"/>
        <v>58893.63</v>
      </c>
      <c r="K136" s="4">
        <f t="shared" si="2"/>
        <v>3</v>
      </c>
      <c r="L136" s="4" t="str">
        <f t="shared" si="3"/>
        <v>Low Discount</v>
      </c>
    </row>
    <row r="137">
      <c r="A137" s="1">
        <v>1136.0</v>
      </c>
      <c r="B137" s="2">
        <v>45228.0</v>
      </c>
      <c r="C137" s="1" t="s">
        <v>20</v>
      </c>
      <c r="D137" s="1" t="s">
        <v>10</v>
      </c>
      <c r="E137" s="1" t="s">
        <v>22</v>
      </c>
      <c r="F137" s="1">
        <v>21874.0</v>
      </c>
      <c r="G137" s="1">
        <v>11255.55</v>
      </c>
      <c r="H137" s="1">
        <v>30.0</v>
      </c>
      <c r="I137" s="1" t="s">
        <v>14</v>
      </c>
      <c r="J137" s="4">
        <f t="shared" si="1"/>
        <v>10618.45</v>
      </c>
      <c r="K137" s="4">
        <f t="shared" si="2"/>
        <v>10</v>
      </c>
      <c r="L137" s="4" t="str">
        <f t="shared" si="3"/>
        <v>High Discount</v>
      </c>
    </row>
    <row r="138">
      <c r="A138" s="1">
        <v>1137.0</v>
      </c>
      <c r="B138" s="2">
        <v>45176.0</v>
      </c>
      <c r="C138" s="1" t="s">
        <v>19</v>
      </c>
      <c r="D138" s="1" t="s">
        <v>10</v>
      </c>
      <c r="E138" s="1" t="s">
        <v>11</v>
      </c>
      <c r="F138" s="1">
        <v>62271.0</v>
      </c>
      <c r="G138" s="1">
        <v>52849.86</v>
      </c>
      <c r="H138" s="1">
        <v>30.0</v>
      </c>
      <c r="I138" s="1" t="s">
        <v>14</v>
      </c>
      <c r="J138" s="4">
        <f t="shared" si="1"/>
        <v>9421.14</v>
      </c>
      <c r="K138" s="4">
        <f t="shared" si="2"/>
        <v>9</v>
      </c>
      <c r="L138" s="4" t="str">
        <f t="shared" si="3"/>
        <v>High Discount</v>
      </c>
    </row>
    <row r="139">
      <c r="A139" s="1">
        <v>1138.0</v>
      </c>
      <c r="B139" s="2">
        <v>45113.0</v>
      </c>
      <c r="C139" s="1" t="s">
        <v>9</v>
      </c>
      <c r="D139" s="1" t="s">
        <v>10</v>
      </c>
      <c r="E139" s="1" t="s">
        <v>13</v>
      </c>
      <c r="F139" s="1">
        <v>42682.0</v>
      </c>
      <c r="G139" s="1">
        <v>30212.23</v>
      </c>
      <c r="H139" s="1">
        <v>5.0</v>
      </c>
      <c r="I139" s="1" t="s">
        <v>14</v>
      </c>
      <c r="J139" s="4">
        <f t="shared" si="1"/>
        <v>12469.77</v>
      </c>
      <c r="K139" s="4">
        <f t="shared" si="2"/>
        <v>7</v>
      </c>
      <c r="L139" s="4" t="str">
        <f t="shared" si="3"/>
        <v>Low Discount</v>
      </c>
    </row>
    <row r="140">
      <c r="A140" s="1">
        <v>1139.0</v>
      </c>
      <c r="B140" s="2">
        <v>45191.0</v>
      </c>
      <c r="C140" s="1" t="s">
        <v>21</v>
      </c>
      <c r="D140" s="1" t="s">
        <v>16</v>
      </c>
      <c r="E140" s="1" t="s">
        <v>22</v>
      </c>
      <c r="F140" s="1">
        <v>36322.0</v>
      </c>
      <c r="G140" s="1">
        <v>29222.17</v>
      </c>
      <c r="H140" s="1">
        <v>15.0</v>
      </c>
      <c r="I140" s="1" t="s">
        <v>12</v>
      </c>
      <c r="J140" s="4">
        <f t="shared" si="1"/>
        <v>7099.83</v>
      </c>
      <c r="K140" s="4">
        <f t="shared" si="2"/>
        <v>9</v>
      </c>
      <c r="L140" s="4" t="str">
        <f t="shared" si="3"/>
        <v>Low Discount</v>
      </c>
    </row>
    <row r="141">
      <c r="A141" s="1">
        <v>1140.0</v>
      </c>
      <c r="B141" s="2">
        <v>45522.0</v>
      </c>
      <c r="C141" s="1" t="s">
        <v>18</v>
      </c>
      <c r="D141" s="1" t="s">
        <v>16</v>
      </c>
      <c r="E141" s="1" t="s">
        <v>17</v>
      </c>
      <c r="F141" s="1">
        <v>12299.0</v>
      </c>
      <c r="G141" s="1">
        <v>8185.14</v>
      </c>
      <c r="H141" s="1">
        <v>10.0</v>
      </c>
      <c r="I141" s="1" t="s">
        <v>14</v>
      </c>
      <c r="J141" s="4">
        <f t="shared" si="1"/>
        <v>4113.86</v>
      </c>
      <c r="K141" s="4">
        <f t="shared" si="2"/>
        <v>8</v>
      </c>
      <c r="L141" s="4" t="str">
        <f t="shared" si="3"/>
        <v>Low Discount</v>
      </c>
    </row>
    <row r="142">
      <c r="A142" s="1">
        <v>1141.0</v>
      </c>
      <c r="B142" s="2">
        <v>45268.0</v>
      </c>
      <c r="C142" s="1" t="s">
        <v>21</v>
      </c>
      <c r="D142" s="1" t="s">
        <v>16</v>
      </c>
      <c r="E142" s="1" t="s">
        <v>22</v>
      </c>
      <c r="F142" s="1">
        <v>14447.0</v>
      </c>
      <c r="G142" s="1">
        <v>12597.54</v>
      </c>
      <c r="H142" s="1">
        <v>0.0</v>
      </c>
      <c r="I142" s="1" t="s">
        <v>12</v>
      </c>
      <c r="J142" s="4">
        <f t="shared" si="1"/>
        <v>1849.46</v>
      </c>
      <c r="K142" s="4">
        <f t="shared" si="2"/>
        <v>12</v>
      </c>
      <c r="L142" s="4" t="str">
        <f t="shared" si="3"/>
        <v>Low Discount</v>
      </c>
    </row>
    <row r="143">
      <c r="A143" s="1">
        <v>1142.0</v>
      </c>
      <c r="B143" s="2">
        <v>44988.0</v>
      </c>
      <c r="C143" s="1" t="s">
        <v>19</v>
      </c>
      <c r="D143" s="1" t="s">
        <v>10</v>
      </c>
      <c r="E143" s="1" t="s">
        <v>13</v>
      </c>
      <c r="F143" s="1">
        <v>18347.0</v>
      </c>
      <c r="G143" s="1">
        <v>13969.1</v>
      </c>
      <c r="H143" s="1">
        <v>15.0</v>
      </c>
      <c r="I143" s="1" t="s">
        <v>12</v>
      </c>
      <c r="J143" s="4">
        <f t="shared" si="1"/>
        <v>4377.9</v>
      </c>
      <c r="K143" s="4">
        <f t="shared" si="2"/>
        <v>3</v>
      </c>
      <c r="L143" s="4" t="str">
        <f t="shared" si="3"/>
        <v>Low Discount</v>
      </c>
    </row>
    <row r="144">
      <c r="A144" s="1">
        <v>1143.0</v>
      </c>
      <c r="B144" s="2">
        <v>45207.0</v>
      </c>
      <c r="C144" s="1" t="s">
        <v>18</v>
      </c>
      <c r="D144" s="1" t="s">
        <v>16</v>
      </c>
      <c r="E144" s="1" t="s">
        <v>11</v>
      </c>
      <c r="F144" s="1">
        <v>29087.0</v>
      </c>
      <c r="G144" s="1">
        <v>17536.53</v>
      </c>
      <c r="H144" s="1">
        <v>30.0</v>
      </c>
      <c r="I144" s="1" t="s">
        <v>14</v>
      </c>
      <c r="J144" s="4">
        <f t="shared" si="1"/>
        <v>11550.47</v>
      </c>
      <c r="K144" s="4">
        <f t="shared" si="2"/>
        <v>10</v>
      </c>
      <c r="L144" s="4" t="str">
        <f t="shared" si="3"/>
        <v>High Discount</v>
      </c>
    </row>
    <row r="145">
      <c r="A145" s="1">
        <v>1144.0</v>
      </c>
      <c r="B145" s="2">
        <v>45529.0</v>
      </c>
      <c r="C145" s="1" t="s">
        <v>9</v>
      </c>
      <c r="D145" s="1" t="s">
        <v>10</v>
      </c>
      <c r="E145" s="1" t="s">
        <v>17</v>
      </c>
      <c r="F145" s="1">
        <v>20308.0</v>
      </c>
      <c r="G145" s="1">
        <v>12492.93</v>
      </c>
      <c r="H145" s="1">
        <v>40.0</v>
      </c>
      <c r="I145" s="1" t="s">
        <v>14</v>
      </c>
      <c r="J145" s="4">
        <f t="shared" si="1"/>
        <v>7815.07</v>
      </c>
      <c r="K145" s="4">
        <f t="shared" si="2"/>
        <v>8</v>
      </c>
      <c r="L145" s="4" t="str">
        <f t="shared" si="3"/>
        <v>High Discount</v>
      </c>
    </row>
    <row r="146">
      <c r="A146" s="1">
        <v>1145.0</v>
      </c>
      <c r="B146" s="2">
        <v>45368.0</v>
      </c>
      <c r="C146" s="1" t="s">
        <v>21</v>
      </c>
      <c r="D146" s="1" t="s">
        <v>16</v>
      </c>
      <c r="E146" s="1" t="s">
        <v>17</v>
      </c>
      <c r="F146" s="1">
        <v>40127.0</v>
      </c>
      <c r="G146" s="1">
        <v>21983.84</v>
      </c>
      <c r="H146" s="1">
        <v>15.0</v>
      </c>
      <c r="I146" s="1" t="s">
        <v>12</v>
      </c>
      <c r="J146" s="4">
        <f t="shared" si="1"/>
        <v>18143.16</v>
      </c>
      <c r="K146" s="4">
        <f t="shared" si="2"/>
        <v>3</v>
      </c>
      <c r="L146" s="4" t="str">
        <f t="shared" si="3"/>
        <v>Low Discount</v>
      </c>
    </row>
    <row r="147">
      <c r="A147" s="1">
        <v>1146.0</v>
      </c>
      <c r="B147" s="2">
        <v>44929.0</v>
      </c>
      <c r="C147" s="1" t="s">
        <v>15</v>
      </c>
      <c r="D147" s="1" t="s">
        <v>16</v>
      </c>
      <c r="E147" s="1" t="s">
        <v>11</v>
      </c>
      <c r="F147" s="1">
        <v>64637.0</v>
      </c>
      <c r="G147" s="1">
        <v>42098.18</v>
      </c>
      <c r="H147" s="1">
        <v>15.0</v>
      </c>
      <c r="I147" s="1" t="s">
        <v>12</v>
      </c>
      <c r="J147" s="4">
        <f t="shared" si="1"/>
        <v>22538.82</v>
      </c>
      <c r="K147" s="4">
        <f t="shared" si="2"/>
        <v>1</v>
      </c>
      <c r="L147" s="4" t="str">
        <f t="shared" si="3"/>
        <v>Low Discount</v>
      </c>
    </row>
    <row r="148">
      <c r="A148" s="1">
        <v>1147.0</v>
      </c>
      <c r="B148" s="2">
        <v>45136.0</v>
      </c>
      <c r="C148" s="1" t="s">
        <v>20</v>
      </c>
      <c r="D148" s="1" t="s">
        <v>10</v>
      </c>
      <c r="E148" s="1" t="s">
        <v>22</v>
      </c>
      <c r="F148" s="1">
        <v>41088.0</v>
      </c>
      <c r="G148" s="1">
        <v>35695.1</v>
      </c>
      <c r="H148" s="1">
        <v>20.0</v>
      </c>
      <c r="I148" s="1" t="s">
        <v>12</v>
      </c>
      <c r="J148" s="4">
        <f t="shared" si="1"/>
        <v>5392.9</v>
      </c>
      <c r="K148" s="4">
        <f t="shared" si="2"/>
        <v>7</v>
      </c>
      <c r="L148" s="4" t="str">
        <f t="shared" si="3"/>
        <v>Low Discount</v>
      </c>
    </row>
    <row r="149">
      <c r="A149" s="1">
        <v>1148.0</v>
      </c>
      <c r="B149" s="2">
        <v>45589.0</v>
      </c>
      <c r="C149" s="1" t="s">
        <v>18</v>
      </c>
      <c r="D149" s="1" t="s">
        <v>16</v>
      </c>
      <c r="E149" s="1" t="s">
        <v>17</v>
      </c>
      <c r="F149" s="1">
        <v>9072.0</v>
      </c>
      <c r="G149" s="1">
        <v>7561.71</v>
      </c>
      <c r="H149" s="1">
        <v>20.0</v>
      </c>
      <c r="I149" s="1" t="s">
        <v>12</v>
      </c>
      <c r="J149" s="4">
        <f t="shared" si="1"/>
        <v>1510.29</v>
      </c>
      <c r="K149" s="4">
        <f t="shared" si="2"/>
        <v>10</v>
      </c>
      <c r="L149" s="4" t="str">
        <f t="shared" si="3"/>
        <v>Low Discount</v>
      </c>
    </row>
    <row r="150">
      <c r="A150" s="1">
        <v>1149.0</v>
      </c>
      <c r="B150" s="2">
        <v>44943.0</v>
      </c>
      <c r="C150" s="1" t="s">
        <v>18</v>
      </c>
      <c r="D150" s="1" t="s">
        <v>16</v>
      </c>
      <c r="E150" s="1" t="s">
        <v>22</v>
      </c>
      <c r="F150" s="1">
        <v>63388.0</v>
      </c>
      <c r="G150" s="1">
        <v>49476.66</v>
      </c>
      <c r="H150" s="1">
        <v>10.0</v>
      </c>
      <c r="I150" s="1" t="s">
        <v>12</v>
      </c>
      <c r="J150" s="4">
        <f t="shared" si="1"/>
        <v>13911.34</v>
      </c>
      <c r="K150" s="4">
        <f t="shared" si="2"/>
        <v>1</v>
      </c>
      <c r="L150" s="4" t="str">
        <f t="shared" si="3"/>
        <v>Low Discount</v>
      </c>
    </row>
    <row r="151">
      <c r="A151" s="1">
        <v>1150.0</v>
      </c>
      <c r="B151" s="2">
        <v>45342.0</v>
      </c>
      <c r="C151" s="1" t="s">
        <v>15</v>
      </c>
      <c r="D151" s="1" t="s">
        <v>16</v>
      </c>
      <c r="E151" s="1" t="s">
        <v>17</v>
      </c>
      <c r="F151" s="1">
        <v>37881.0</v>
      </c>
      <c r="G151" s="1">
        <v>32948.54</v>
      </c>
      <c r="H151" s="1">
        <v>20.0</v>
      </c>
      <c r="I151" s="1" t="s">
        <v>14</v>
      </c>
      <c r="J151" s="4">
        <f t="shared" si="1"/>
        <v>4932.46</v>
      </c>
      <c r="K151" s="4">
        <f t="shared" si="2"/>
        <v>2</v>
      </c>
      <c r="L151" s="4" t="str">
        <f t="shared" si="3"/>
        <v>Low Discount</v>
      </c>
    </row>
    <row r="152">
      <c r="A152" s="1">
        <v>1151.0</v>
      </c>
      <c r="B152" s="2">
        <v>45608.0</v>
      </c>
      <c r="C152" s="1" t="s">
        <v>20</v>
      </c>
      <c r="D152" s="1" t="s">
        <v>10</v>
      </c>
      <c r="E152" s="1" t="s">
        <v>11</v>
      </c>
      <c r="F152" s="1">
        <v>78375.0</v>
      </c>
      <c r="G152" s="1">
        <v>69616.09</v>
      </c>
      <c r="H152" s="1">
        <v>20.0</v>
      </c>
      <c r="I152" s="1" t="s">
        <v>12</v>
      </c>
      <c r="J152" s="4">
        <f t="shared" si="1"/>
        <v>8758.91</v>
      </c>
      <c r="K152" s="4">
        <f t="shared" si="2"/>
        <v>11</v>
      </c>
      <c r="L152" s="4" t="str">
        <f t="shared" si="3"/>
        <v>Low Discount</v>
      </c>
    </row>
    <row r="153">
      <c r="A153" s="1">
        <v>1152.0</v>
      </c>
      <c r="B153" s="2">
        <v>44940.0</v>
      </c>
      <c r="C153" s="1" t="s">
        <v>18</v>
      </c>
      <c r="D153" s="1" t="s">
        <v>16</v>
      </c>
      <c r="E153" s="1" t="s">
        <v>17</v>
      </c>
      <c r="F153" s="1">
        <v>76405.0</v>
      </c>
      <c r="G153" s="1">
        <v>65859.23</v>
      </c>
      <c r="H153" s="1">
        <v>5.0</v>
      </c>
      <c r="I153" s="1" t="s">
        <v>14</v>
      </c>
      <c r="J153" s="4">
        <f t="shared" si="1"/>
        <v>10545.77</v>
      </c>
      <c r="K153" s="4">
        <f t="shared" si="2"/>
        <v>1</v>
      </c>
      <c r="L153" s="4" t="str">
        <f t="shared" si="3"/>
        <v>Low Discount</v>
      </c>
    </row>
    <row r="154">
      <c r="A154" s="1">
        <v>1153.0</v>
      </c>
      <c r="B154" s="2">
        <v>45016.0</v>
      </c>
      <c r="C154" s="1" t="s">
        <v>18</v>
      </c>
      <c r="D154" s="1" t="s">
        <v>16</v>
      </c>
      <c r="E154" s="1" t="s">
        <v>11</v>
      </c>
      <c r="F154" s="1">
        <v>31917.0</v>
      </c>
      <c r="G154" s="1">
        <v>16520.4</v>
      </c>
      <c r="H154" s="1">
        <v>20.0</v>
      </c>
      <c r="I154" s="1" t="s">
        <v>14</v>
      </c>
      <c r="J154" s="4">
        <f t="shared" si="1"/>
        <v>15396.6</v>
      </c>
      <c r="K154" s="4">
        <f t="shared" si="2"/>
        <v>3</v>
      </c>
      <c r="L154" s="4" t="str">
        <f t="shared" si="3"/>
        <v>Low Discount</v>
      </c>
    </row>
    <row r="155">
      <c r="A155" s="1">
        <v>1154.0</v>
      </c>
      <c r="B155" s="2">
        <v>45133.0</v>
      </c>
      <c r="C155" s="1" t="s">
        <v>18</v>
      </c>
      <c r="D155" s="1" t="s">
        <v>16</v>
      </c>
      <c r="E155" s="1" t="s">
        <v>17</v>
      </c>
      <c r="F155" s="1">
        <v>40143.0</v>
      </c>
      <c r="G155" s="1">
        <v>29818.54</v>
      </c>
      <c r="H155" s="1">
        <v>40.0</v>
      </c>
      <c r="I155" s="1" t="s">
        <v>12</v>
      </c>
      <c r="J155" s="4">
        <f t="shared" si="1"/>
        <v>10324.46</v>
      </c>
      <c r="K155" s="4">
        <f t="shared" si="2"/>
        <v>7</v>
      </c>
      <c r="L155" s="4" t="str">
        <f t="shared" si="3"/>
        <v>High Discount</v>
      </c>
    </row>
    <row r="156">
      <c r="A156" s="1">
        <v>1155.0</v>
      </c>
      <c r="B156" s="2">
        <v>45170.0</v>
      </c>
      <c r="C156" s="1" t="s">
        <v>15</v>
      </c>
      <c r="D156" s="1" t="s">
        <v>16</v>
      </c>
      <c r="E156" s="1" t="s">
        <v>13</v>
      </c>
      <c r="F156" s="1">
        <v>78447.0</v>
      </c>
      <c r="G156" s="1">
        <v>60178.85</v>
      </c>
      <c r="H156" s="1">
        <v>40.0</v>
      </c>
      <c r="I156" s="1" t="s">
        <v>14</v>
      </c>
      <c r="J156" s="4">
        <f t="shared" si="1"/>
        <v>18268.15</v>
      </c>
      <c r="K156" s="4">
        <f t="shared" si="2"/>
        <v>9</v>
      </c>
      <c r="L156" s="4" t="str">
        <f t="shared" si="3"/>
        <v>High Discount</v>
      </c>
    </row>
    <row r="157">
      <c r="A157" s="1">
        <v>1156.0</v>
      </c>
      <c r="B157" s="2">
        <v>45529.0</v>
      </c>
      <c r="C157" s="1" t="s">
        <v>15</v>
      </c>
      <c r="D157" s="1" t="s">
        <v>16</v>
      </c>
      <c r="E157" s="1" t="s">
        <v>11</v>
      </c>
      <c r="F157" s="1">
        <v>19010.0</v>
      </c>
      <c r="G157" s="1">
        <v>11349.53</v>
      </c>
      <c r="H157" s="1">
        <v>30.0</v>
      </c>
      <c r="I157" s="1" t="s">
        <v>12</v>
      </c>
      <c r="J157" s="4">
        <f t="shared" si="1"/>
        <v>7660.47</v>
      </c>
      <c r="K157" s="4">
        <f t="shared" si="2"/>
        <v>8</v>
      </c>
      <c r="L157" s="4" t="str">
        <f t="shared" si="3"/>
        <v>High Discount</v>
      </c>
    </row>
    <row r="158">
      <c r="A158" s="1">
        <v>1157.0</v>
      </c>
      <c r="B158" s="2">
        <v>45443.0</v>
      </c>
      <c r="C158" s="1" t="s">
        <v>15</v>
      </c>
      <c r="D158" s="1" t="s">
        <v>16</v>
      </c>
      <c r="E158" s="1" t="s">
        <v>11</v>
      </c>
      <c r="F158" s="1">
        <v>64875.0</v>
      </c>
      <c r="G158" s="1">
        <v>56540.52</v>
      </c>
      <c r="H158" s="1">
        <v>0.0</v>
      </c>
      <c r="I158" s="1" t="s">
        <v>14</v>
      </c>
      <c r="J158" s="4">
        <f t="shared" si="1"/>
        <v>8334.48</v>
      </c>
      <c r="K158" s="4">
        <f t="shared" si="2"/>
        <v>5</v>
      </c>
      <c r="L158" s="4" t="str">
        <f t="shared" si="3"/>
        <v>Low Discount</v>
      </c>
    </row>
    <row r="159">
      <c r="A159" s="1">
        <v>1158.0</v>
      </c>
      <c r="B159" s="2">
        <v>45425.0</v>
      </c>
      <c r="C159" s="1" t="s">
        <v>9</v>
      </c>
      <c r="D159" s="1" t="s">
        <v>10</v>
      </c>
      <c r="E159" s="1" t="s">
        <v>13</v>
      </c>
      <c r="F159" s="1">
        <v>55984.0</v>
      </c>
      <c r="G159" s="1">
        <v>42390.49</v>
      </c>
      <c r="H159" s="1">
        <v>5.0</v>
      </c>
      <c r="I159" s="1" t="s">
        <v>12</v>
      </c>
      <c r="J159" s="4">
        <f t="shared" si="1"/>
        <v>13593.51</v>
      </c>
      <c r="K159" s="4">
        <f t="shared" si="2"/>
        <v>5</v>
      </c>
      <c r="L159" s="4" t="str">
        <f t="shared" si="3"/>
        <v>Low Discount</v>
      </c>
    </row>
    <row r="160">
      <c r="A160" s="1">
        <v>1159.0</v>
      </c>
      <c r="B160" s="2">
        <v>44960.0</v>
      </c>
      <c r="C160" s="1" t="s">
        <v>9</v>
      </c>
      <c r="D160" s="1" t="s">
        <v>10</v>
      </c>
      <c r="E160" s="1" t="s">
        <v>11</v>
      </c>
      <c r="F160" s="1">
        <v>51379.0</v>
      </c>
      <c r="G160" s="1">
        <v>38569.31</v>
      </c>
      <c r="H160" s="1">
        <v>0.0</v>
      </c>
      <c r="I160" s="1" t="s">
        <v>12</v>
      </c>
      <c r="J160" s="4">
        <f t="shared" si="1"/>
        <v>12809.69</v>
      </c>
      <c r="K160" s="4">
        <f t="shared" si="2"/>
        <v>2</v>
      </c>
      <c r="L160" s="4" t="str">
        <f t="shared" si="3"/>
        <v>Low Discount</v>
      </c>
    </row>
    <row r="161">
      <c r="A161" s="1">
        <v>1160.0</v>
      </c>
      <c r="B161" s="2">
        <v>45218.0</v>
      </c>
      <c r="C161" s="1" t="s">
        <v>18</v>
      </c>
      <c r="D161" s="1" t="s">
        <v>16</v>
      </c>
      <c r="E161" s="1" t="s">
        <v>13</v>
      </c>
      <c r="F161" s="1">
        <v>22466.0</v>
      </c>
      <c r="G161" s="1">
        <v>19652.11</v>
      </c>
      <c r="H161" s="1">
        <v>10.0</v>
      </c>
      <c r="I161" s="1" t="s">
        <v>12</v>
      </c>
      <c r="J161" s="4">
        <f t="shared" si="1"/>
        <v>2813.89</v>
      </c>
      <c r="K161" s="4">
        <f t="shared" si="2"/>
        <v>10</v>
      </c>
      <c r="L161" s="4" t="str">
        <f t="shared" si="3"/>
        <v>Low Discount</v>
      </c>
    </row>
    <row r="162">
      <c r="A162" s="1">
        <v>1161.0</v>
      </c>
      <c r="B162" s="2">
        <v>45349.0</v>
      </c>
      <c r="C162" s="1" t="s">
        <v>19</v>
      </c>
      <c r="D162" s="1" t="s">
        <v>10</v>
      </c>
      <c r="E162" s="1" t="s">
        <v>11</v>
      </c>
      <c r="F162" s="1">
        <v>11403.0</v>
      </c>
      <c r="G162" s="1">
        <v>6763.99</v>
      </c>
      <c r="H162" s="1">
        <v>40.0</v>
      </c>
      <c r="I162" s="1" t="s">
        <v>14</v>
      </c>
      <c r="J162" s="4">
        <f t="shared" si="1"/>
        <v>4639.01</v>
      </c>
      <c r="K162" s="4">
        <f t="shared" si="2"/>
        <v>2</v>
      </c>
      <c r="L162" s="4" t="str">
        <f t="shared" si="3"/>
        <v>High Discount</v>
      </c>
    </row>
    <row r="163">
      <c r="A163" s="1">
        <v>1162.0</v>
      </c>
      <c r="B163" s="2">
        <v>45094.0</v>
      </c>
      <c r="C163" s="1" t="s">
        <v>20</v>
      </c>
      <c r="D163" s="1" t="s">
        <v>10</v>
      </c>
      <c r="E163" s="1" t="s">
        <v>13</v>
      </c>
      <c r="F163" s="1">
        <v>21166.0</v>
      </c>
      <c r="G163" s="1">
        <v>10752.62</v>
      </c>
      <c r="H163" s="1">
        <v>40.0</v>
      </c>
      <c r="I163" s="1" t="s">
        <v>12</v>
      </c>
      <c r="J163" s="4">
        <f t="shared" si="1"/>
        <v>10413.38</v>
      </c>
      <c r="K163" s="4">
        <f t="shared" si="2"/>
        <v>6</v>
      </c>
      <c r="L163" s="4" t="str">
        <f t="shared" si="3"/>
        <v>High Discount</v>
      </c>
    </row>
    <row r="164">
      <c r="A164" s="1">
        <v>1163.0</v>
      </c>
      <c r="B164" s="2">
        <v>45599.0</v>
      </c>
      <c r="C164" s="1" t="s">
        <v>20</v>
      </c>
      <c r="D164" s="1" t="s">
        <v>10</v>
      </c>
      <c r="E164" s="1" t="s">
        <v>17</v>
      </c>
      <c r="F164" s="1">
        <v>35600.0</v>
      </c>
      <c r="G164" s="1">
        <v>23169.24</v>
      </c>
      <c r="H164" s="1">
        <v>10.0</v>
      </c>
      <c r="I164" s="1" t="s">
        <v>14</v>
      </c>
      <c r="J164" s="4">
        <f t="shared" si="1"/>
        <v>12430.76</v>
      </c>
      <c r="K164" s="4">
        <f t="shared" si="2"/>
        <v>11</v>
      </c>
      <c r="L164" s="4" t="str">
        <f t="shared" si="3"/>
        <v>Low Discount</v>
      </c>
    </row>
    <row r="165">
      <c r="A165" s="1">
        <v>1164.0</v>
      </c>
      <c r="B165" s="2">
        <v>45007.0</v>
      </c>
      <c r="C165" s="1" t="s">
        <v>9</v>
      </c>
      <c r="D165" s="1" t="s">
        <v>10</v>
      </c>
      <c r="E165" s="1" t="s">
        <v>22</v>
      </c>
      <c r="F165" s="1">
        <v>31008.0</v>
      </c>
      <c r="G165" s="1">
        <v>23263.24</v>
      </c>
      <c r="H165" s="1">
        <v>0.0</v>
      </c>
      <c r="I165" s="1" t="s">
        <v>12</v>
      </c>
      <c r="J165" s="4">
        <f t="shared" si="1"/>
        <v>7744.76</v>
      </c>
      <c r="K165" s="4">
        <f t="shared" si="2"/>
        <v>3</v>
      </c>
      <c r="L165" s="4" t="str">
        <f t="shared" si="3"/>
        <v>Low Discount</v>
      </c>
    </row>
    <row r="166">
      <c r="A166" s="1">
        <v>1165.0</v>
      </c>
      <c r="B166" s="2">
        <v>45506.0</v>
      </c>
      <c r="C166" s="1" t="s">
        <v>15</v>
      </c>
      <c r="D166" s="1" t="s">
        <v>16</v>
      </c>
      <c r="E166" s="1" t="s">
        <v>11</v>
      </c>
      <c r="F166" s="1">
        <v>55522.0</v>
      </c>
      <c r="G166" s="1">
        <v>35567.58</v>
      </c>
      <c r="H166" s="1">
        <v>5.0</v>
      </c>
      <c r="I166" s="1" t="s">
        <v>14</v>
      </c>
      <c r="J166" s="4">
        <f t="shared" si="1"/>
        <v>19954.42</v>
      </c>
      <c r="K166" s="4">
        <f t="shared" si="2"/>
        <v>8</v>
      </c>
      <c r="L166" s="4" t="str">
        <f t="shared" si="3"/>
        <v>Low Discount</v>
      </c>
    </row>
    <row r="167">
      <c r="A167" s="1">
        <v>1166.0</v>
      </c>
      <c r="B167" s="2">
        <v>44936.0</v>
      </c>
      <c r="C167" s="1" t="s">
        <v>21</v>
      </c>
      <c r="D167" s="1" t="s">
        <v>16</v>
      </c>
      <c r="E167" s="1" t="s">
        <v>11</v>
      </c>
      <c r="F167" s="1">
        <v>20367.0</v>
      </c>
      <c r="G167" s="4">
        <v>14819.37</v>
      </c>
      <c r="H167" s="1">
        <v>40.0</v>
      </c>
      <c r="I167" s="1" t="s">
        <v>12</v>
      </c>
      <c r="J167" s="4">
        <f t="shared" si="1"/>
        <v>5547.63</v>
      </c>
      <c r="K167" s="4">
        <f t="shared" si="2"/>
        <v>1</v>
      </c>
      <c r="L167" s="4" t="str">
        <f t="shared" si="3"/>
        <v>High Discount</v>
      </c>
    </row>
    <row r="168">
      <c r="A168" s="1">
        <v>1167.0</v>
      </c>
      <c r="B168" s="2">
        <v>45066.0</v>
      </c>
      <c r="C168" s="1" t="s">
        <v>18</v>
      </c>
      <c r="D168" s="1" t="s">
        <v>16</v>
      </c>
      <c r="E168" s="1" t="s">
        <v>13</v>
      </c>
      <c r="F168" s="1">
        <v>21009.0</v>
      </c>
      <c r="G168" s="1">
        <v>16007.94</v>
      </c>
      <c r="H168" s="1">
        <v>10.0</v>
      </c>
      <c r="I168" s="1" t="s">
        <v>14</v>
      </c>
      <c r="J168" s="4">
        <f t="shared" si="1"/>
        <v>5001.06</v>
      </c>
      <c r="K168" s="4">
        <f t="shared" si="2"/>
        <v>5</v>
      </c>
      <c r="L168" s="4" t="str">
        <f t="shared" si="3"/>
        <v>Low Discount</v>
      </c>
    </row>
    <row r="169">
      <c r="A169" s="1">
        <v>1168.0</v>
      </c>
      <c r="B169" s="2">
        <v>45429.0</v>
      </c>
      <c r="C169" s="1" t="s">
        <v>19</v>
      </c>
      <c r="D169" s="1" t="s">
        <v>10</v>
      </c>
      <c r="E169" s="1" t="s">
        <v>17</v>
      </c>
      <c r="F169" s="1">
        <v>57852.0</v>
      </c>
      <c r="G169" s="1">
        <v>35223.73</v>
      </c>
      <c r="H169" s="1">
        <v>15.0</v>
      </c>
      <c r="I169" s="1" t="s">
        <v>12</v>
      </c>
      <c r="J169" s="4">
        <f t="shared" si="1"/>
        <v>22628.27</v>
      </c>
      <c r="K169" s="4">
        <f t="shared" si="2"/>
        <v>5</v>
      </c>
      <c r="L169" s="4" t="str">
        <f t="shared" si="3"/>
        <v>Low Discount</v>
      </c>
    </row>
    <row r="170">
      <c r="A170" s="1">
        <v>1169.0</v>
      </c>
      <c r="B170" s="2">
        <v>45615.0</v>
      </c>
      <c r="C170" s="1" t="s">
        <v>15</v>
      </c>
      <c r="D170" s="1" t="s">
        <v>16</v>
      </c>
      <c r="E170" s="1" t="s">
        <v>17</v>
      </c>
      <c r="F170" s="1">
        <v>48214.0</v>
      </c>
      <c r="G170" s="1">
        <v>32706.66</v>
      </c>
      <c r="H170" s="1">
        <v>5.0</v>
      </c>
      <c r="I170" s="1" t="s">
        <v>12</v>
      </c>
      <c r="J170" s="4">
        <f t="shared" si="1"/>
        <v>15507.34</v>
      </c>
      <c r="K170" s="4">
        <f t="shared" si="2"/>
        <v>11</v>
      </c>
      <c r="L170" s="4" t="str">
        <f t="shared" si="3"/>
        <v>Low Discount</v>
      </c>
    </row>
    <row r="171">
      <c r="A171" s="1">
        <v>1170.0</v>
      </c>
      <c r="B171" s="2">
        <v>44970.0</v>
      </c>
      <c r="C171" s="1" t="s">
        <v>21</v>
      </c>
      <c r="D171" s="1" t="s">
        <v>16</v>
      </c>
      <c r="E171" s="1" t="s">
        <v>17</v>
      </c>
      <c r="F171" s="1">
        <v>18714.0</v>
      </c>
      <c r="G171" s="1">
        <v>13591.63</v>
      </c>
      <c r="H171" s="1">
        <v>30.0</v>
      </c>
      <c r="I171" s="1" t="s">
        <v>12</v>
      </c>
      <c r="J171" s="4">
        <f t="shared" si="1"/>
        <v>5122.37</v>
      </c>
      <c r="K171" s="4">
        <f t="shared" si="2"/>
        <v>2</v>
      </c>
      <c r="L171" s="4" t="str">
        <f t="shared" si="3"/>
        <v>High Discount</v>
      </c>
    </row>
    <row r="172">
      <c r="A172" s="1">
        <v>1171.0</v>
      </c>
      <c r="B172" s="2">
        <v>45382.0</v>
      </c>
      <c r="C172" s="1" t="s">
        <v>15</v>
      </c>
      <c r="D172" s="1" t="s">
        <v>16</v>
      </c>
      <c r="E172" s="1" t="s">
        <v>22</v>
      </c>
      <c r="F172" s="1">
        <v>78479.0</v>
      </c>
      <c r="G172" s="1">
        <v>57549.48</v>
      </c>
      <c r="H172" s="1">
        <v>20.0</v>
      </c>
      <c r="I172" s="1" t="s">
        <v>14</v>
      </c>
      <c r="J172" s="4">
        <f t="shared" si="1"/>
        <v>20929.52</v>
      </c>
      <c r="K172" s="4">
        <f t="shared" si="2"/>
        <v>3</v>
      </c>
      <c r="L172" s="4" t="str">
        <f t="shared" si="3"/>
        <v>Low Discount</v>
      </c>
    </row>
    <row r="173">
      <c r="A173" s="1">
        <v>1172.0</v>
      </c>
      <c r="B173" s="2">
        <v>45198.0</v>
      </c>
      <c r="C173" s="1" t="s">
        <v>21</v>
      </c>
      <c r="D173" s="1" t="s">
        <v>16</v>
      </c>
      <c r="E173" s="1" t="s">
        <v>22</v>
      </c>
      <c r="F173" s="1">
        <v>52399.0</v>
      </c>
      <c r="G173" s="1">
        <v>33910.41</v>
      </c>
      <c r="H173" s="1">
        <v>0.0</v>
      </c>
      <c r="I173" s="1" t="s">
        <v>12</v>
      </c>
      <c r="J173" s="4">
        <f t="shared" si="1"/>
        <v>18488.59</v>
      </c>
      <c r="K173" s="4">
        <f t="shared" si="2"/>
        <v>9</v>
      </c>
      <c r="L173" s="4" t="str">
        <f t="shared" si="3"/>
        <v>Low Discount</v>
      </c>
    </row>
    <row r="174">
      <c r="A174" s="1">
        <v>1173.0</v>
      </c>
      <c r="B174" s="2">
        <v>45381.0</v>
      </c>
      <c r="C174" s="1" t="s">
        <v>20</v>
      </c>
      <c r="D174" s="1" t="s">
        <v>10</v>
      </c>
      <c r="E174" s="1" t="s">
        <v>17</v>
      </c>
      <c r="F174" s="1">
        <v>30862.0</v>
      </c>
      <c r="G174" s="1">
        <v>25971.99</v>
      </c>
      <c r="H174" s="1">
        <v>5.0</v>
      </c>
      <c r="I174" s="1" t="s">
        <v>14</v>
      </c>
      <c r="J174" s="4">
        <f t="shared" si="1"/>
        <v>4890.01</v>
      </c>
      <c r="K174" s="4">
        <f t="shared" si="2"/>
        <v>3</v>
      </c>
      <c r="L174" s="4" t="str">
        <f t="shared" si="3"/>
        <v>Low Discount</v>
      </c>
    </row>
    <row r="175">
      <c r="A175" s="1">
        <v>1174.0</v>
      </c>
      <c r="B175" s="2">
        <v>44987.0</v>
      </c>
      <c r="C175" s="1" t="s">
        <v>9</v>
      </c>
      <c r="D175" s="1" t="s">
        <v>10</v>
      </c>
      <c r="E175" s="1" t="s">
        <v>17</v>
      </c>
      <c r="F175" s="1">
        <v>35675.0</v>
      </c>
      <c r="G175" s="1">
        <v>21457.57</v>
      </c>
      <c r="H175" s="1">
        <v>40.0</v>
      </c>
      <c r="I175" s="1" t="s">
        <v>12</v>
      </c>
      <c r="J175" s="4">
        <f t="shared" si="1"/>
        <v>14217.43</v>
      </c>
      <c r="K175" s="4">
        <f t="shared" si="2"/>
        <v>3</v>
      </c>
      <c r="L175" s="4" t="str">
        <f t="shared" si="3"/>
        <v>High Discount</v>
      </c>
    </row>
    <row r="176">
      <c r="A176" s="1">
        <v>1175.0</v>
      </c>
      <c r="B176" s="2">
        <v>45580.0</v>
      </c>
      <c r="C176" s="1" t="s">
        <v>15</v>
      </c>
      <c r="D176" s="1" t="s">
        <v>16</v>
      </c>
      <c r="E176" s="1" t="s">
        <v>11</v>
      </c>
      <c r="F176" s="1">
        <v>31850.0</v>
      </c>
      <c r="G176" s="1">
        <v>27318.4</v>
      </c>
      <c r="H176" s="1">
        <v>10.0</v>
      </c>
      <c r="I176" s="1" t="s">
        <v>14</v>
      </c>
      <c r="J176" s="4">
        <f t="shared" si="1"/>
        <v>4531.6</v>
      </c>
      <c r="K176" s="4">
        <f t="shared" si="2"/>
        <v>10</v>
      </c>
      <c r="L176" s="4" t="str">
        <f t="shared" si="3"/>
        <v>Low Discount</v>
      </c>
    </row>
    <row r="177">
      <c r="A177" s="1">
        <v>1176.0</v>
      </c>
      <c r="B177" s="2">
        <v>45170.0</v>
      </c>
      <c r="C177" s="1" t="s">
        <v>9</v>
      </c>
      <c r="D177" s="1" t="s">
        <v>10</v>
      </c>
      <c r="E177" s="1" t="s">
        <v>17</v>
      </c>
      <c r="F177" s="4">
        <f>average(F2,F201)</f>
        <v>19641</v>
      </c>
      <c r="G177" s="1">
        <v>53994.62</v>
      </c>
      <c r="H177" s="1">
        <v>10.0</v>
      </c>
      <c r="I177" s="1" t="s">
        <v>12</v>
      </c>
      <c r="J177" s="4">
        <f t="shared" si="1"/>
        <v>-34353.62</v>
      </c>
      <c r="K177" s="4">
        <f t="shared" si="2"/>
        <v>9</v>
      </c>
      <c r="L177" s="4" t="str">
        <f t="shared" si="3"/>
        <v>Low Discount</v>
      </c>
    </row>
    <row r="178">
      <c r="A178" s="1">
        <v>1177.0</v>
      </c>
      <c r="B178" s="2">
        <v>45159.0</v>
      </c>
      <c r="C178" s="1" t="s">
        <v>20</v>
      </c>
      <c r="D178" s="1" t="s">
        <v>10</v>
      </c>
      <c r="E178" s="1" t="s">
        <v>22</v>
      </c>
      <c r="F178" s="1">
        <v>23563.0</v>
      </c>
      <c r="G178" s="1">
        <v>20709.76</v>
      </c>
      <c r="H178" s="1">
        <v>15.0</v>
      </c>
      <c r="I178" s="1" t="s">
        <v>12</v>
      </c>
      <c r="J178" s="4">
        <f t="shared" si="1"/>
        <v>2853.24</v>
      </c>
      <c r="K178" s="4">
        <f t="shared" si="2"/>
        <v>8</v>
      </c>
      <c r="L178" s="4" t="str">
        <f t="shared" si="3"/>
        <v>Low Discount</v>
      </c>
    </row>
    <row r="179">
      <c r="A179" s="1">
        <v>1178.0</v>
      </c>
      <c r="B179" s="2">
        <v>45449.0</v>
      </c>
      <c r="C179" s="1" t="s">
        <v>20</v>
      </c>
      <c r="D179" s="1" t="s">
        <v>10</v>
      </c>
      <c r="E179" s="1" t="s">
        <v>13</v>
      </c>
      <c r="F179" s="1">
        <v>59918.0</v>
      </c>
      <c r="G179" s="1">
        <v>34057.74</v>
      </c>
      <c r="H179" s="1">
        <v>40.0</v>
      </c>
      <c r="I179" s="1" t="s">
        <v>12</v>
      </c>
      <c r="J179" s="4">
        <f t="shared" si="1"/>
        <v>25860.26</v>
      </c>
      <c r="K179" s="4">
        <f t="shared" si="2"/>
        <v>6</v>
      </c>
      <c r="L179" s="4" t="str">
        <f t="shared" si="3"/>
        <v>High Discount</v>
      </c>
    </row>
    <row r="180">
      <c r="A180" s="1">
        <v>1179.0</v>
      </c>
      <c r="B180" s="2">
        <v>45198.0</v>
      </c>
      <c r="C180" s="1" t="s">
        <v>9</v>
      </c>
      <c r="D180" s="1" t="s">
        <v>10</v>
      </c>
      <c r="E180" s="1" t="s">
        <v>13</v>
      </c>
      <c r="F180" s="1">
        <v>20532.0</v>
      </c>
      <c r="G180" s="1">
        <v>15685.26</v>
      </c>
      <c r="H180" s="1">
        <v>30.0</v>
      </c>
      <c r="I180" s="1" t="s">
        <v>12</v>
      </c>
      <c r="J180" s="4">
        <f t="shared" si="1"/>
        <v>4846.74</v>
      </c>
      <c r="K180" s="4">
        <f t="shared" si="2"/>
        <v>9</v>
      </c>
      <c r="L180" s="4" t="str">
        <f t="shared" si="3"/>
        <v>High Discount</v>
      </c>
    </row>
    <row r="181">
      <c r="A181" s="1">
        <v>1180.0</v>
      </c>
      <c r="B181" s="2">
        <v>45117.0</v>
      </c>
      <c r="C181" s="1" t="s">
        <v>21</v>
      </c>
      <c r="D181" s="1" t="s">
        <v>16</v>
      </c>
      <c r="E181" s="1" t="s">
        <v>22</v>
      </c>
      <c r="F181" s="1">
        <v>14639.0</v>
      </c>
      <c r="G181" s="1">
        <v>10007.64</v>
      </c>
      <c r="H181" s="1">
        <v>0.0</v>
      </c>
      <c r="I181" s="1" t="s">
        <v>14</v>
      </c>
      <c r="J181" s="4">
        <f t="shared" si="1"/>
        <v>4631.36</v>
      </c>
      <c r="K181" s="4">
        <f t="shared" si="2"/>
        <v>7</v>
      </c>
      <c r="L181" s="4" t="str">
        <f t="shared" si="3"/>
        <v>Low Discount</v>
      </c>
    </row>
    <row r="182">
      <c r="A182" s="1">
        <v>1181.0</v>
      </c>
      <c r="B182" s="2">
        <v>45500.0</v>
      </c>
      <c r="C182" s="1" t="s">
        <v>19</v>
      </c>
      <c r="D182" s="1" t="s">
        <v>10</v>
      </c>
      <c r="E182" s="1" t="s">
        <v>11</v>
      </c>
      <c r="F182" s="4">
        <f>average(F2,F201)</f>
        <v>19641</v>
      </c>
      <c r="G182" s="1">
        <v>45144.53</v>
      </c>
      <c r="H182" s="1">
        <v>10.0</v>
      </c>
      <c r="I182" s="1" t="s">
        <v>12</v>
      </c>
      <c r="J182" s="4">
        <f t="shared" si="1"/>
        <v>-25503.53</v>
      </c>
      <c r="K182" s="4">
        <f t="shared" si="2"/>
        <v>7</v>
      </c>
      <c r="L182" s="4" t="str">
        <f t="shared" si="3"/>
        <v>Low Discount</v>
      </c>
    </row>
    <row r="183">
      <c r="A183" s="1">
        <v>1182.0</v>
      </c>
      <c r="B183" s="2">
        <v>45136.0</v>
      </c>
      <c r="C183" s="1" t="s">
        <v>20</v>
      </c>
      <c r="D183" s="1" t="s">
        <v>10</v>
      </c>
      <c r="E183" s="1" t="s">
        <v>13</v>
      </c>
      <c r="F183" s="1">
        <v>19190.0</v>
      </c>
      <c r="G183" s="1">
        <v>17236.9</v>
      </c>
      <c r="H183" s="1">
        <v>5.0</v>
      </c>
      <c r="I183" s="1" t="s">
        <v>12</v>
      </c>
      <c r="J183" s="4">
        <f t="shared" si="1"/>
        <v>1953.1</v>
      </c>
      <c r="K183" s="4">
        <f t="shared" si="2"/>
        <v>7</v>
      </c>
      <c r="L183" s="4" t="str">
        <f t="shared" si="3"/>
        <v>Low Discount</v>
      </c>
    </row>
    <row r="184">
      <c r="A184" s="1">
        <v>1183.0</v>
      </c>
      <c r="B184" s="2">
        <v>45528.0</v>
      </c>
      <c r="C184" s="1" t="s">
        <v>21</v>
      </c>
      <c r="D184" s="1" t="s">
        <v>16</v>
      </c>
      <c r="E184" s="1" t="s">
        <v>17</v>
      </c>
      <c r="F184" s="1">
        <v>52559.0</v>
      </c>
      <c r="G184" s="1">
        <v>29184.59</v>
      </c>
      <c r="H184" s="1">
        <v>40.0</v>
      </c>
      <c r="I184" s="1" t="s">
        <v>14</v>
      </c>
      <c r="J184" s="4">
        <f t="shared" si="1"/>
        <v>23374.41</v>
      </c>
      <c r="K184" s="4">
        <f t="shared" si="2"/>
        <v>8</v>
      </c>
      <c r="L184" s="4" t="str">
        <f t="shared" si="3"/>
        <v>High Discount</v>
      </c>
    </row>
    <row r="185">
      <c r="A185" s="1">
        <v>1184.0</v>
      </c>
      <c r="B185" s="2">
        <v>45286.0</v>
      </c>
      <c r="C185" s="1" t="s">
        <v>15</v>
      </c>
      <c r="D185" s="1" t="s">
        <v>16</v>
      </c>
      <c r="E185" s="1" t="s">
        <v>22</v>
      </c>
      <c r="F185" s="1">
        <v>78360.0</v>
      </c>
      <c r="G185" s="1">
        <v>48702.73</v>
      </c>
      <c r="H185" s="1">
        <v>20.0</v>
      </c>
      <c r="I185" s="1" t="s">
        <v>14</v>
      </c>
      <c r="J185" s="4">
        <f t="shared" si="1"/>
        <v>29657.27</v>
      </c>
      <c r="K185" s="4">
        <f t="shared" si="2"/>
        <v>12</v>
      </c>
      <c r="L185" s="4" t="str">
        <f t="shared" si="3"/>
        <v>Low Discount</v>
      </c>
    </row>
    <row r="186">
      <c r="A186" s="1">
        <v>1185.0</v>
      </c>
      <c r="B186" s="2">
        <v>45533.0</v>
      </c>
      <c r="C186" s="1" t="s">
        <v>9</v>
      </c>
      <c r="D186" s="1" t="s">
        <v>10</v>
      </c>
      <c r="E186" s="1" t="s">
        <v>22</v>
      </c>
      <c r="F186" s="1">
        <v>41334.0</v>
      </c>
      <c r="G186" s="1">
        <v>21470.67</v>
      </c>
      <c r="H186" s="1">
        <v>5.0</v>
      </c>
      <c r="I186" s="1" t="s">
        <v>14</v>
      </c>
      <c r="J186" s="4">
        <f t="shared" si="1"/>
        <v>19863.33</v>
      </c>
      <c r="K186" s="4">
        <f t="shared" si="2"/>
        <v>8</v>
      </c>
      <c r="L186" s="4" t="str">
        <f t="shared" si="3"/>
        <v>Low Discount</v>
      </c>
    </row>
    <row r="187">
      <c r="A187" s="1">
        <v>1186.0</v>
      </c>
      <c r="B187" s="2">
        <v>45321.0</v>
      </c>
      <c r="C187" s="1" t="s">
        <v>21</v>
      </c>
      <c r="D187" s="1" t="s">
        <v>16</v>
      </c>
      <c r="E187" s="1" t="s">
        <v>22</v>
      </c>
      <c r="F187" s="1">
        <v>17822.0</v>
      </c>
      <c r="G187" s="1">
        <v>9313.5</v>
      </c>
      <c r="H187" s="1">
        <v>10.0</v>
      </c>
      <c r="I187" s="1" t="s">
        <v>12</v>
      </c>
      <c r="J187" s="4">
        <f t="shared" si="1"/>
        <v>8508.5</v>
      </c>
      <c r="K187" s="4">
        <f t="shared" si="2"/>
        <v>1</v>
      </c>
      <c r="L187" s="4" t="str">
        <f t="shared" si="3"/>
        <v>Low Discount</v>
      </c>
    </row>
    <row r="188">
      <c r="A188" s="1">
        <v>1187.0</v>
      </c>
      <c r="B188" s="2">
        <v>45353.0</v>
      </c>
      <c r="C188" s="1" t="s">
        <v>18</v>
      </c>
      <c r="D188" s="1" t="s">
        <v>16</v>
      </c>
      <c r="E188" s="1" t="s">
        <v>17</v>
      </c>
      <c r="F188" s="1">
        <v>62856.0</v>
      </c>
      <c r="G188" s="1">
        <v>41656.91</v>
      </c>
      <c r="H188" s="1">
        <v>30.0</v>
      </c>
      <c r="I188" s="1" t="s">
        <v>14</v>
      </c>
      <c r="J188" s="4">
        <f t="shared" si="1"/>
        <v>21199.09</v>
      </c>
      <c r="K188" s="4">
        <f t="shared" si="2"/>
        <v>3</v>
      </c>
      <c r="L188" s="4" t="str">
        <f t="shared" si="3"/>
        <v>High Discount</v>
      </c>
    </row>
    <row r="189">
      <c r="A189" s="1">
        <v>1188.0</v>
      </c>
      <c r="B189" s="2">
        <v>45110.0</v>
      </c>
      <c r="C189" s="1" t="s">
        <v>20</v>
      </c>
      <c r="D189" s="1" t="s">
        <v>10</v>
      </c>
      <c r="E189" s="1" t="s">
        <v>11</v>
      </c>
      <c r="F189" s="1">
        <v>38861.0</v>
      </c>
      <c r="G189" s="1">
        <v>33186.97</v>
      </c>
      <c r="H189" s="1">
        <v>5.0</v>
      </c>
      <c r="I189" s="1" t="s">
        <v>14</v>
      </c>
      <c r="J189" s="4">
        <f t="shared" si="1"/>
        <v>5674.03</v>
      </c>
      <c r="K189" s="4">
        <f t="shared" si="2"/>
        <v>7</v>
      </c>
      <c r="L189" s="4" t="str">
        <f t="shared" si="3"/>
        <v>Low Discount</v>
      </c>
    </row>
    <row r="190">
      <c r="A190" s="1">
        <v>1189.0</v>
      </c>
      <c r="B190" s="2">
        <v>45092.0</v>
      </c>
      <c r="C190" s="1" t="s">
        <v>21</v>
      </c>
      <c r="D190" s="1" t="s">
        <v>16</v>
      </c>
      <c r="E190" s="1" t="s">
        <v>11</v>
      </c>
      <c r="F190" s="1">
        <v>56354.0</v>
      </c>
      <c r="G190" s="1">
        <v>43986.97</v>
      </c>
      <c r="H190" s="1">
        <v>10.0</v>
      </c>
      <c r="I190" s="1" t="s">
        <v>12</v>
      </c>
      <c r="J190" s="4">
        <f t="shared" si="1"/>
        <v>12367.03</v>
      </c>
      <c r="K190" s="4">
        <f t="shared" si="2"/>
        <v>6</v>
      </c>
      <c r="L190" s="4" t="str">
        <f t="shared" si="3"/>
        <v>Low Discount</v>
      </c>
    </row>
    <row r="191">
      <c r="A191" s="1">
        <v>1190.0</v>
      </c>
      <c r="B191" s="2">
        <v>45611.0</v>
      </c>
      <c r="C191" s="1" t="s">
        <v>19</v>
      </c>
      <c r="D191" s="1" t="s">
        <v>10</v>
      </c>
      <c r="E191" s="1" t="s">
        <v>22</v>
      </c>
      <c r="F191" s="1">
        <v>63097.0</v>
      </c>
      <c r="G191" s="1">
        <v>40357.87</v>
      </c>
      <c r="H191" s="1">
        <v>20.0</v>
      </c>
      <c r="I191" s="1" t="s">
        <v>14</v>
      </c>
      <c r="J191" s="4">
        <f t="shared" si="1"/>
        <v>22739.13</v>
      </c>
      <c r="K191" s="4">
        <f t="shared" si="2"/>
        <v>11</v>
      </c>
      <c r="L191" s="4" t="str">
        <f t="shared" si="3"/>
        <v>Low Discount</v>
      </c>
    </row>
  </sheetData>
  <autoFilter ref="$A$1:$J$1000">
    <sortState ref="A1:J1000">
      <sortCondition ref="A1:A1000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5.88"/>
    <col customWidth="1" min="7" max="7" width="12.5"/>
    <col customWidth="1" min="8" max="8" width="19.25"/>
    <col customWidth="1" min="9" max="26" width="15.88"/>
  </cols>
  <sheetData>
    <row r="1">
      <c r="B1" s="5"/>
      <c r="D1" s="5"/>
      <c r="F1" s="5"/>
    </row>
    <row r="2">
      <c r="B2" s="6" t="s">
        <v>27</v>
      </c>
      <c r="D2" s="6" t="s">
        <v>28</v>
      </c>
      <c r="F2" s="6" t="s">
        <v>29</v>
      </c>
      <c r="H2" s="6" t="s">
        <v>30</v>
      </c>
    </row>
    <row r="3">
      <c r="A3" s="5"/>
      <c r="B3" s="7">
        <f>SUM(Cleaned_Data!F:F)</f>
        <v>8104567</v>
      </c>
      <c r="C3" s="5"/>
      <c r="D3" s="7">
        <f>sum(Cleaned_Data!J:J)</f>
        <v>2327492.99</v>
      </c>
      <c r="E3" s="5"/>
      <c r="F3" s="8">
        <f>D3/B3</f>
        <v>0.2871828921</v>
      </c>
      <c r="G3" s="5"/>
      <c r="H3" s="7">
        <f>AVERAGE(Cleaned_Data!F:F)</f>
        <v>42655.61579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20">
      <c r="F20" s="10" t="s">
        <v>45</v>
      </c>
    </row>
    <row r="25"/>
    <row r="26"/>
    <row r="27"/>
    <row r="28"/>
    <row r="29"/>
    <row r="30"/>
    <row r="31"/>
    <row r="32"/>
    <row r="43">
      <c r="E43" s="3" t="s">
        <v>46</v>
      </c>
    </row>
    <row r="49"/>
    <row r="50"/>
    <row r="51"/>
    <row r="52"/>
    <row r="53"/>
    <row r="54"/>
    <row r="67">
      <c r="E67" s="3" t="s">
        <v>48</v>
      </c>
    </row>
    <row r="72"/>
    <row r="73"/>
    <row r="74"/>
    <row r="75"/>
    <row r="88"/>
    <row r="89"/>
    <row r="90"/>
    <row r="91"/>
    <row r="106">
      <c r="D106" s="1" t="s">
        <v>53</v>
      </c>
    </row>
  </sheetData>
  <autoFilter ref="$A$1:$B$169"/>
  <customSheetViews>
    <customSheetView guid="{1FF048BB-5539-4F14-8588-2B7002BE84A9}" filter="1" showAutoFilter="1">
      <autoFilter ref="$A$49:$B$53"/>
    </customSheetView>
  </customSheetViews>
  <mergeCells count="3">
    <mergeCell ref="F20:G20"/>
    <mergeCell ref="E43:F43"/>
    <mergeCell ref="E67:F67"/>
  </mergeCell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0">
      <c r="D20" s="10" t="s">
        <v>45</v>
      </c>
    </row>
    <row r="21">
      <c r="K21" s="3" t="s">
        <v>46</v>
      </c>
    </row>
    <row r="42">
      <c r="C42" s="3" t="s">
        <v>48</v>
      </c>
    </row>
    <row r="45">
      <c r="B45" s="1" t="s">
        <v>54</v>
      </c>
    </row>
    <row r="46">
      <c r="B46" s="1" t="s">
        <v>55</v>
      </c>
    </row>
    <row r="47">
      <c r="B47" s="1" t="s">
        <v>56</v>
      </c>
    </row>
  </sheetData>
  <mergeCells count="4">
    <mergeCell ref="D20:E20"/>
    <mergeCell ref="K21:L21"/>
    <mergeCell ref="C42:D42"/>
    <mergeCell ref="B45:E4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